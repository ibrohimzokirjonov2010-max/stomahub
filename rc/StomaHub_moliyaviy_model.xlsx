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razlar" sheetId="1" state="visible" r:id="rId3"/>
    <sheet name="Daromad" sheetId="2" state="visible" r:id="rId4"/>
    <sheet name="Xarajatlar" sheetId="3" state="visible" r:id="rId5"/>
    <sheet name="P&amp;L oylik" sheetId="4" state="visible" r:id="rId6"/>
    <sheet name="Pul oqimi" sheetId="5" state="visible" r:id="rId7"/>
    <sheet name="Foyda nuqtas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<sst xmlns="http://schemas.openxmlformats.org/spreadsheetml/2006/main" count="165" uniqueCount="86">
  <si>
    <t xml:space="preserve">StomaHub moliyaviy modeli — FARAZLAR. DIQQAT: barcha qiymatlar TAXMINIY (namuna) ma'lumot, haqiqiy emas! Sariq kataklarni haqiqiy ma'lumot bilan to'ldiring.</t>
  </si>
  <si>
    <t xml:space="preserve">Ko'rsatkich</t>
  </si>
  <si>
    <t xml:space="preserve">Qiymat</t>
  </si>
  <si>
    <t xml:space="preserve">Birlik</t>
  </si>
  <si>
    <t xml:space="preserve">Belgi</t>
  </si>
  <si>
    <t xml:space="preserve">Marketplace: 1-oy savdo hajmi (GMV)</t>
  </si>
  <si>
    <t xml:space="preserve">UZS/oy</t>
  </si>
  <si>
    <t xml:space="preserve">TAXMINIY</t>
  </si>
  <si>
    <t xml:space="preserve">Marketplace: GMV oylik o'sishi</t>
  </si>
  <si>
    <t xml:space="preserve">%</t>
  </si>
  <si>
    <t xml:space="preserve">Marketplace komissiyasi</t>
  </si>
  <si>
    <t xml:space="preserve">Seminarlar soni oyiga</t>
  </si>
  <si>
    <t xml:space="preserve">dona</t>
  </si>
  <si>
    <t xml:space="preserve">Bir seminarga chiptalar</t>
  </si>
  <si>
    <t xml:space="preserve">Chipta narxi</t>
  </si>
  <si>
    <t xml:space="preserve">UZS</t>
  </si>
  <si>
    <t xml:space="preserve">Platforma ulushi chiptadan</t>
  </si>
  <si>
    <t xml:space="preserve">CRM: boshlang'ich klinikalar</t>
  </si>
  <si>
    <t xml:space="preserve">CRM: oyiga yangi klinikalar</t>
  </si>
  <si>
    <t xml:space="preserve">CRM: oylik churn</t>
  </si>
  <si>
    <t xml:space="preserve">CRM obuna narxi</t>
  </si>
  <si>
    <t xml:space="preserve">Ilova: 1-oy premium foydalanuvchilar</t>
  </si>
  <si>
    <t xml:space="preserve">Ilova: foydalanuvchilar oylik o'sishi</t>
  </si>
  <si>
    <t xml:space="preserve">Ilova premium obuna narxi</t>
  </si>
  <si>
    <t xml:space="preserve">Jamoa (ish haqi) xarajati</t>
  </si>
  <si>
    <t xml:space="preserve">Reklama xarajati</t>
  </si>
  <si>
    <t xml:space="preserve">Hosting/serverlar</t>
  </si>
  <si>
    <t xml:space="preserve">Boshqa doimiy xarajatlar</t>
  </si>
  <si>
    <t xml:space="preserve">To'lov tizimi komissiyasi (Payme/Click/Uzum)</t>
  </si>
  <si>
    <t xml:space="preserve">% daromaddan</t>
  </si>
  <si>
    <t xml:space="preserve">Aylanmadan olinadigan soliq stavkasi</t>
  </si>
  <si>
    <t xml:space="preserve">% daromaddan — joriy stavkani tekshiring! IT-Park rezidentligi imtiyozli rejim berishi mumkin</t>
  </si>
  <si>
    <t xml:space="preserve">Boshlang'ich kapital (investitsiya)</t>
  </si>
  <si>
    <t xml:space="preserve">Daromad (TAXMINIY namuna ma'lumotlar asosida)</t>
  </si>
  <si>
    <t xml:space="preserve">1-oy</t>
  </si>
  <si>
    <t xml:space="preserve">2-oy</t>
  </si>
  <si>
    <t xml:space="preserve">3-oy</t>
  </si>
  <si>
    <t xml:space="preserve">4-oy</t>
  </si>
  <si>
    <t xml:space="preserve">5-oy</t>
  </si>
  <si>
    <t xml:space="preserve">6-oy</t>
  </si>
  <si>
    <t xml:space="preserve">7-oy</t>
  </si>
  <si>
    <t xml:space="preserve">8-oy</t>
  </si>
  <si>
    <t xml:space="preserve">9-oy</t>
  </si>
  <si>
    <t xml:space="preserve">10-oy</t>
  </si>
  <si>
    <t xml:space="preserve">11-oy</t>
  </si>
  <si>
    <t xml:space="preserve">12-oy</t>
  </si>
  <si>
    <t xml:space="preserve">Jami</t>
  </si>
  <si>
    <t xml:space="preserve">Marketplace GMV</t>
  </si>
  <si>
    <t xml:space="preserve">Marketplace komissiya daromadi</t>
  </si>
  <si>
    <t xml:space="preserve">Ta'lim/seminar daromadi</t>
  </si>
  <si>
    <t xml:space="preserve">CRM faol klinikalar</t>
  </si>
  <si>
    <t xml:space="preserve">CRM obuna daromadi</t>
  </si>
  <si>
    <t xml:space="preserve">Ilova premium foydalanuvchilar</t>
  </si>
  <si>
    <t xml:space="preserve">Mobil ilova daromadi</t>
  </si>
  <si>
    <t xml:space="preserve">JAMI DAROMAD</t>
  </si>
  <si>
    <t xml:space="preserve">Xarajatlar (TAXMINIY namuna ma'lumotlar asosida)</t>
  </si>
  <si>
    <t xml:space="preserve">Jamoa</t>
  </si>
  <si>
    <t xml:space="preserve">Reklama</t>
  </si>
  <si>
    <t xml:space="preserve">Boshqa doimiy</t>
  </si>
  <si>
    <t xml:space="preserve">To'lov komissiyalari (Payme/Click/Uzum)</t>
  </si>
  <si>
    <t xml:space="preserve">Aylanma soliq (stavkani tekshiring; IT-Park varianti)</t>
  </si>
  <si>
    <t xml:space="preserve">JAMI XARAJAT</t>
  </si>
  <si>
    <t xml:space="preserve">P&amp;L oylik (TAXMINIY namuna ma'lumotlar asosida)</t>
  </si>
  <si>
    <t xml:space="preserve">Daromad</t>
  </si>
  <si>
    <t xml:space="preserve">O'zgaruvchan xarajatlar (komissiya+soliq)</t>
  </si>
  <si>
    <t xml:space="preserve">Yalpi foyda</t>
  </si>
  <si>
    <t xml:space="preserve">Doimiy xarajatlar</t>
  </si>
  <si>
    <t xml:space="preserve">SOF FOYDA</t>
  </si>
  <si>
    <t xml:space="preserve">Pul oqimi (TAXMINIY namuna ma'lumotlar asosida)</t>
  </si>
  <si>
    <t xml:space="preserve">Boshlang'ich qoldiq</t>
  </si>
  <si>
    <t xml:space="preserve">Kirim (daromad)</t>
  </si>
  <si>
    <t xml:space="preserve">Chiqim (xarajatlar)</t>
  </si>
  <si>
    <t xml:space="preserve">Sof pul oqimi</t>
  </si>
  <si>
    <t xml:space="preserve">Yakuniy qoldiq</t>
  </si>
  <si>
    <t xml:space="preserve">Kumulyativ sof foyda</t>
  </si>
  <si>
    <t xml:space="preserve">FOYDA NUQTASI (TAXMINIY namuna ma'lumotlar asosida)</t>
  </si>
  <si>
    <t xml:space="preserve">Birinchi foydali oy (oylik sof foyda ≥ 0)</t>
  </si>
  <si>
    <t xml:space="preserve">Investitsiya qoplanadigan oy (kumulyativ foyda ≥ 0)</t>
  </si>
  <si>
    <t xml:space="preserve">Eng past pul qoldig'i (12 oy)</t>
  </si>
  <si>
    <t xml:space="preserve">Oylik doimiy xarajatlar</t>
  </si>
  <si>
    <t xml:space="preserve">O'zgaruvchan xarajat ulushi (to'lov+soliq)</t>
  </si>
  <si>
    <t xml:space="preserve">Kerakli oylik daromad (foyda nuqtasi)</t>
  </si>
  <si>
    <t xml:space="preserve">Faqat CRM bilan qoplash uchun kerakli klinikalar</t>
  </si>
  <si>
    <t xml:space="preserve">Faqat marketplace bilan qoplash uchun kerakli oylik GMV</t>
  </si>
  <si>
    <t xml:space="preserve">Faqat seminar bilan: kerakli chiptalar soni oyiga</t>
  </si>
  <si>
    <t xml:space="preserve">12-oy daromadi (taqqoslash uchun)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</si>
</sst>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s">
        <v>5</v>
      </c>
      <c r="B3" s="2" t="n">
        <v>50000000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8</v>
      </c>
      <c r="B4" s="3" t="n">
        <v>0.15</v>
      </c>
      <c r="C4" s="0" t="s">
        <v>9</v>
      </c>
      <c r="D4" s="0" t="s">
        <v>7</v>
      </c>
    </row>
    <row r="5" customFormat="false" ht="15" hidden="false" customHeight="false" outlineLevel="0" collapsed="false">
      <c r="A5" s="0" t="s">
        <v>10</v>
      </c>
      <c r="B5" s="3" t="n">
        <v>0.1</v>
      </c>
      <c r="C5" s="0" t="s">
        <v>9</v>
      </c>
      <c r="D5" s="0" t="s">
        <v>7</v>
      </c>
    </row>
    <row r="6" customFormat="false" ht="15" hidden="false" customHeight="false" outlineLevel="0" collapsed="false">
      <c r="A6" s="0" t="s">
        <v>11</v>
      </c>
      <c r="B6" s="2" t="n">
        <v>2</v>
      </c>
      <c r="C6" s="0" t="s">
        <v>12</v>
      </c>
      <c r="D6" s="0" t="s">
        <v>7</v>
      </c>
    </row>
    <row r="7" customFormat="false" ht="15" hidden="false" customHeight="false" outlineLevel="0" collapsed="false">
      <c r="A7" s="0" t="s">
        <v>13</v>
      </c>
      <c r="B7" s="2" t="n">
        <v>30</v>
      </c>
      <c r="C7" s="0" t="s">
        <v>12</v>
      </c>
      <c r="D7" s="0" t="s">
        <v>7</v>
      </c>
    </row>
    <row r="8" customFormat="false" ht="15" hidden="false" customHeight="false" outlineLevel="0" collapsed="false">
      <c r="A8" s="0" t="s">
        <v>14</v>
      </c>
      <c r="B8" s="2" t="n">
        <v>500000</v>
      </c>
      <c r="C8" s="0" t="s">
        <v>15</v>
      </c>
      <c r="D8" s="0" t="s">
        <v>7</v>
      </c>
    </row>
    <row r="9" customFormat="false" ht="15" hidden="false" customHeight="false" outlineLevel="0" collapsed="false">
      <c r="A9" s="0" t="s">
        <v>16</v>
      </c>
      <c r="B9" s="3" t="n">
        <v>0.3</v>
      </c>
      <c r="C9" s="0" t="s">
        <v>9</v>
      </c>
      <c r="D9" s="0" t="s">
        <v>7</v>
      </c>
    </row>
    <row r="10" customFormat="false" ht="15" hidden="false" customHeight="false" outlineLevel="0" collapsed="false">
      <c r="A10" s="0" t="s">
        <v>17</v>
      </c>
      <c r="B10" s="2" t="n">
        <v>10</v>
      </c>
      <c r="C10" s="0" t="s">
        <v>12</v>
      </c>
      <c r="D10" s="0" t="s">
        <v>7</v>
      </c>
    </row>
    <row r="11" customFormat="false" ht="15" hidden="false" customHeight="false" outlineLevel="0" collapsed="false">
      <c r="A11" s="0" t="s">
        <v>18</v>
      </c>
      <c r="B11" s="2" t="n">
        <v>8</v>
      </c>
      <c r="C11" s="0" t="s">
        <v>12</v>
      </c>
      <c r="D11" s="0" t="s">
        <v>7</v>
      </c>
    </row>
    <row r="12" customFormat="false" ht="15" hidden="false" customHeight="false" outlineLevel="0" collapsed="false">
      <c r="A12" s="0" t="s">
        <v>19</v>
      </c>
      <c r="B12" s="3" t="n">
        <v>0.03</v>
      </c>
      <c r="C12" s="0" t="s">
        <v>9</v>
      </c>
      <c r="D12" s="0" t="s">
        <v>7</v>
      </c>
    </row>
    <row r="13" customFormat="false" ht="15" hidden="false" customHeight="false" outlineLevel="0" collapsed="false">
      <c r="A13" s="0" t="s">
        <v>20</v>
      </c>
      <c r="B13" s="2" t="n">
        <v>300000</v>
      </c>
      <c r="C13" s="0" t="s">
        <v>6</v>
      </c>
      <c r="D13" s="0" t="s">
        <v>7</v>
      </c>
    </row>
    <row r="14" customFormat="false" ht="15" hidden="false" customHeight="false" outlineLevel="0" collapsed="false">
      <c r="A14" s="0" t="s">
        <v>21</v>
      </c>
      <c r="B14" s="2" t="n">
        <v>100</v>
      </c>
      <c r="C14" s="0" t="s">
        <v>12</v>
      </c>
      <c r="D14" s="0" t="s">
        <v>7</v>
      </c>
    </row>
    <row r="15" customFormat="false" ht="15" hidden="false" customHeight="false" outlineLevel="0" collapsed="false">
      <c r="A15" s="0" t="s">
        <v>22</v>
      </c>
      <c r="B15" s="3" t="n">
        <v>0.2</v>
      </c>
      <c r="C15" s="0" t="s">
        <v>9</v>
      </c>
      <c r="D15" s="0" t="s">
        <v>7</v>
      </c>
    </row>
    <row r="16" customFormat="false" ht="15" hidden="false" customHeight="false" outlineLevel="0" collapsed="false">
      <c r="A16" s="0" t="s">
        <v>23</v>
      </c>
      <c r="B16" s="2" t="n">
        <v>30000</v>
      </c>
      <c r="C16" s="0" t="s">
        <v>6</v>
      </c>
      <c r="D16" s="0" t="s">
        <v>7</v>
      </c>
    </row>
    <row r="17" customFormat="false" ht="15" hidden="false" customHeight="false" outlineLevel="0" collapsed="false">
      <c r="A17" s="0" t="s">
        <v>24</v>
      </c>
      <c r="B17" s="2" t="n">
        <v>40000000</v>
      </c>
      <c r="C17" s="0" t="s">
        <v>6</v>
      </c>
      <c r="D17" s="0" t="s">
        <v>7</v>
      </c>
    </row>
    <row r="18" customFormat="false" ht="15" hidden="false" customHeight="false" outlineLevel="0" collapsed="false">
      <c r="A18" s="0" t="s">
        <v>25</v>
      </c>
      <c r="B18" s="2" t="n">
        <v>15000000</v>
      </c>
      <c r="C18" s="0" t="s">
        <v>6</v>
      </c>
      <c r="D18" s="0" t="s">
        <v>7</v>
      </c>
    </row>
    <row r="19" customFormat="false" ht="15" hidden="false" customHeight="false" outlineLevel="0" collapsed="false">
      <c r="A19" s="0" t="s">
        <v>26</v>
      </c>
      <c r="B19" s="2" t="n">
        <v>3000000</v>
      </c>
      <c r="C19" s="0" t="s">
        <v>6</v>
      </c>
      <c r="D19" s="0" t="s">
        <v>7</v>
      </c>
    </row>
    <row r="20" customFormat="false" ht="15" hidden="false" customHeight="false" outlineLevel="0" collapsed="false">
      <c r="A20" s="0" t="s">
        <v>27</v>
      </c>
      <c r="B20" s="2" t="n">
        <v>2000000</v>
      </c>
      <c r="C20" s="0" t="s">
        <v>6</v>
      </c>
      <c r="D20" s="0" t="s">
        <v>7</v>
      </c>
    </row>
    <row r="21" customFormat="false" ht="15" hidden="false" customHeight="false" outlineLevel="0" collapsed="false">
      <c r="A21" s="0" t="s">
        <v>28</v>
      </c>
      <c r="B21" s="3" t="n">
        <v>0.015</v>
      </c>
      <c r="C21" s="0" t="s">
        <v>29</v>
      </c>
      <c r="D21" s="0" t="s">
        <v>7</v>
      </c>
    </row>
    <row r="22" customFormat="false" ht="15" hidden="false" customHeight="false" outlineLevel="0" collapsed="false">
      <c r="A22" s="0" t="s">
        <v>30</v>
      </c>
      <c r="B22" s="3" t="n">
        <v>0.04</v>
      </c>
      <c r="C22" s="0" t="s">
        <v>31</v>
      </c>
      <c r="D22" s="0" t="s">
        <v>7</v>
      </c>
    </row>
    <row r="23" customFormat="false" ht="15" hidden="false" customHeight="false" outlineLevel="0" collapsed="false">
      <c r="A23" s="0" t="s">
        <v>32</v>
      </c>
      <c r="B23" s="2" t="n">
        <v>200000000</v>
      </c>
      <c r="C23" s="0" t="s">
        <v>15</v>
      </c>
      <c r="D23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0" t="s">
        <v>1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47</v>
      </c>
      <c r="B3" s="4" t="n">
        <f aca="false">Farazlar!$B$3</f>
        <v>50000000</v>
      </c>
      <c r="C3" s="4" t="n">
        <f aca="false">B3*(1+Farazlar!$B$4)</f>
        <v>57500000</v>
      </c>
      <c r="D3" s="4" t="n">
        <f aca="false">C3*(1+Farazlar!$B$4)</f>
        <v>66125000</v>
      </c>
      <c r="E3" s="4" t="n">
        <f aca="false">D3*(1+Farazlar!$B$4)</f>
        <v>76043750</v>
      </c>
      <c r="F3" s="4" t="n">
        <f aca="false">E3*(1+Farazlar!$B$4)</f>
        <v>87450312.5</v>
      </c>
      <c r="G3" s="4" t="n">
        <f aca="false">F3*(1+Farazlar!$B$4)</f>
        <v>100567859.375</v>
      </c>
      <c r="H3" s="4" t="n">
        <f aca="false">G3*(1+Farazlar!$B$4)</f>
        <v>115653038.28125</v>
      </c>
      <c r="I3" s="4" t="n">
        <f aca="false">H3*(1+Farazlar!$B$4)</f>
        <v>133000994.023437</v>
      </c>
      <c r="J3" s="4" t="n">
        <f aca="false">I3*(1+Farazlar!$B$4)</f>
        <v>152951143.126953</v>
      </c>
      <c r="K3" s="4" t="n">
        <f aca="false">J3*(1+Farazlar!$B$4)</f>
        <v>175893814.595996</v>
      </c>
      <c r="L3" s="4" t="n">
        <f aca="false">K3*(1+Farazlar!$B$4)</f>
        <v>202277886.785395</v>
      </c>
      <c r="M3" s="4" t="n">
        <f aca="false">L3*(1+Farazlar!$B$4)</f>
        <v>232619569.803205</v>
      </c>
      <c r="N3" s="4"/>
    </row>
    <row r="4" customFormat="false" ht="15" hidden="false" customHeight="false" outlineLevel="0" collapsed="false">
      <c r="A4" s="0" t="s">
        <v>48</v>
      </c>
      <c r="B4" s="4" t="n">
        <f aca="false">B3*Farazlar!$B$5</f>
        <v>5000000</v>
      </c>
      <c r="C4" s="4" t="n">
        <f aca="false">C3*Farazlar!$B$5</f>
        <v>5750000</v>
      </c>
      <c r="D4" s="4" t="n">
        <f aca="false">D3*Farazlar!$B$5</f>
        <v>6612500</v>
      </c>
      <c r="E4" s="4" t="n">
        <f aca="false">E3*Farazlar!$B$5</f>
        <v>7604375</v>
      </c>
      <c r="F4" s="4" t="n">
        <f aca="false">F3*Farazlar!$B$5</f>
        <v>8745031.25</v>
      </c>
      <c r="G4" s="4" t="n">
        <f aca="false">G3*Farazlar!$B$5</f>
        <v>10056785.9375</v>
      </c>
      <c r="H4" s="4" t="n">
        <f aca="false">H3*Farazlar!$B$5</f>
        <v>11565303.828125</v>
      </c>
      <c r="I4" s="4" t="n">
        <f aca="false">I3*Farazlar!$B$5</f>
        <v>13300099.4023437</v>
      </c>
      <c r="J4" s="4" t="n">
        <f aca="false">J3*Farazlar!$B$5</f>
        <v>15295114.3126953</v>
      </c>
      <c r="K4" s="4" t="n">
        <f aca="false">K3*Farazlar!$B$5</f>
        <v>17589381.4595996</v>
      </c>
      <c r="L4" s="4" t="n">
        <f aca="false">L3*Farazlar!$B$5</f>
        <v>20227788.6785395</v>
      </c>
      <c r="M4" s="4" t="n">
        <f aca="false">M3*Farazlar!$B$5</f>
        <v>23261956.9803205</v>
      </c>
      <c r="N4" s="4" t="n">
        <f aca="false">SUM(B4:M4)</f>
        <v>145008336.849124</v>
      </c>
    </row>
    <row r="5" customFormat="false" ht="15" hidden="false" customHeight="false" outlineLevel="0" collapsed="false">
      <c r="A5" s="0" t="s">
        <v>49</v>
      </c>
      <c r="B5" s="4" t="n">
        <f aca="false">Farazlar!$B$6*Farazlar!$B$7*Farazlar!$B$8*Farazlar!$B$9</f>
        <v>9000000</v>
      </c>
      <c r="C5" s="4" t="n">
        <f aca="false">Farazlar!$B$6*Farazlar!$B$7*Farazlar!$B$8*Farazlar!$B$9</f>
        <v>9000000</v>
      </c>
      <c r="D5" s="4" t="n">
        <f aca="false">Farazlar!$B$6*Farazlar!$B$7*Farazlar!$B$8*Farazlar!$B$9</f>
        <v>9000000</v>
      </c>
      <c r="E5" s="4" t="n">
        <f aca="false">Farazlar!$B$6*Farazlar!$B$7*Farazlar!$B$8*Farazlar!$B$9</f>
        <v>9000000</v>
      </c>
      <c r="F5" s="4" t="n">
        <f aca="false">Farazlar!$B$6*Farazlar!$B$7*Farazlar!$B$8*Farazlar!$B$9</f>
        <v>9000000</v>
      </c>
      <c r="G5" s="4" t="n">
        <f aca="false">Farazlar!$B$6*Farazlar!$B$7*Farazlar!$B$8*Farazlar!$B$9</f>
        <v>9000000</v>
      </c>
      <c r="H5" s="4" t="n">
        <f aca="false">Farazlar!$B$6*Farazlar!$B$7*Farazlar!$B$8*Farazlar!$B$9</f>
        <v>9000000</v>
      </c>
      <c r="I5" s="4" t="n">
        <f aca="false">Farazlar!$B$6*Farazlar!$B$7*Farazlar!$B$8*Farazlar!$B$9</f>
        <v>9000000</v>
      </c>
      <c r="J5" s="4" t="n">
        <f aca="false">Farazlar!$B$6*Farazlar!$B$7*Farazlar!$B$8*Farazlar!$B$9</f>
        <v>9000000</v>
      </c>
      <c r="K5" s="4" t="n">
        <f aca="false">Farazlar!$B$6*Farazlar!$B$7*Farazlar!$B$8*Farazlar!$B$9</f>
        <v>9000000</v>
      </c>
      <c r="L5" s="4" t="n">
        <f aca="false">Farazlar!$B$6*Farazlar!$B$7*Farazlar!$B$8*Farazlar!$B$9</f>
        <v>9000000</v>
      </c>
      <c r="M5" s="4" t="n">
        <f aca="false">Farazlar!$B$6*Farazlar!$B$7*Farazlar!$B$8*Farazlar!$B$9</f>
        <v>9000000</v>
      </c>
      <c r="N5" s="4" t="n">
        <f aca="false">SUM(B5:M5)</f>
        <v>108000000</v>
      </c>
    </row>
    <row r="6" customFormat="false" ht="15" hidden="false" customHeight="false" outlineLevel="0" collapsed="false">
      <c r="A6" s="0" t="s">
        <v>50</v>
      </c>
      <c r="B6" s="4" t="n">
        <f aca="false">Farazlar!$B$10+Farazlar!$B$11</f>
        <v>18</v>
      </c>
      <c r="C6" s="4" t="n">
        <f aca="false">B6*(1-Farazlar!$B$12)+Farazlar!$B$11</f>
        <v>25.46</v>
      </c>
      <c r="D6" s="4" t="n">
        <f aca="false">C6*(1-Farazlar!$B$12)+Farazlar!$B$11</f>
        <v>32.6962</v>
      </c>
      <c r="E6" s="4" t="n">
        <f aca="false">D6*(1-Farazlar!$B$12)+Farazlar!$B$11</f>
        <v>39.715314</v>
      </c>
      <c r="F6" s="4" t="n">
        <f aca="false">E6*(1-Farazlar!$B$12)+Farazlar!$B$11</f>
        <v>46.52385458</v>
      </c>
      <c r="G6" s="4" t="n">
        <f aca="false">F6*(1-Farazlar!$B$12)+Farazlar!$B$11</f>
        <v>53.1281389426</v>
      </c>
      <c r="H6" s="4" t="n">
        <f aca="false">G6*(1-Farazlar!$B$12)+Farazlar!$B$11</f>
        <v>59.534294774322</v>
      </c>
      <c r="I6" s="4" t="n">
        <f aca="false">H6*(1-Farazlar!$B$12)+Farazlar!$B$11</f>
        <v>65.7482659310923</v>
      </c>
      <c r="J6" s="4" t="n">
        <f aca="false">I6*(1-Farazlar!$B$12)+Farazlar!$B$11</f>
        <v>71.7758179531596</v>
      </c>
      <c r="K6" s="4" t="n">
        <f aca="false">J6*(1-Farazlar!$B$12)+Farazlar!$B$11</f>
        <v>77.6225434145648</v>
      </c>
      <c r="L6" s="4" t="n">
        <f aca="false">K6*(1-Farazlar!$B$12)+Farazlar!$B$11</f>
        <v>83.2938671121278</v>
      </c>
      <c r="M6" s="4" t="n">
        <f aca="false">L6*(1-Farazlar!$B$12)+Farazlar!$B$11</f>
        <v>88.795051098764</v>
      </c>
      <c r="N6" s="4"/>
    </row>
    <row r="7" customFormat="false" ht="15" hidden="false" customHeight="false" outlineLevel="0" collapsed="false">
      <c r="A7" s="0" t="s">
        <v>51</v>
      </c>
      <c r="B7" s="4" t="n">
        <f aca="false">B6*Farazlar!$B$13</f>
        <v>5400000</v>
      </c>
      <c r="C7" s="4" t="n">
        <f aca="false">C6*Farazlar!$B$13</f>
        <v>7638000</v>
      </c>
      <c r="D7" s="4" t="n">
        <f aca="false">D6*Farazlar!$B$13</f>
        <v>9808860</v>
      </c>
      <c r="E7" s="4" t="n">
        <f aca="false">E6*Farazlar!$B$13</f>
        <v>11914594.2</v>
      </c>
      <c r="F7" s="4" t="n">
        <f aca="false">F6*Farazlar!$B$13</f>
        <v>13957156.374</v>
      </c>
      <c r="G7" s="4" t="n">
        <f aca="false">G6*Farazlar!$B$13</f>
        <v>15938441.68278</v>
      </c>
      <c r="H7" s="4" t="n">
        <f aca="false">H6*Farazlar!$B$13</f>
        <v>17860288.4322966</v>
      </c>
      <c r="I7" s="4" t="n">
        <f aca="false">I6*Farazlar!$B$13</f>
        <v>19724479.7793277</v>
      </c>
      <c r="J7" s="4" t="n">
        <f aca="false">J6*Farazlar!$B$13</f>
        <v>21532745.3859479</v>
      </c>
      <c r="K7" s="4" t="n">
        <f aca="false">K6*Farazlar!$B$13</f>
        <v>23286763.0243694</v>
      </c>
      <c r="L7" s="4" t="n">
        <f aca="false">L6*Farazlar!$B$13</f>
        <v>24988160.1336384</v>
      </c>
      <c r="M7" s="4" t="n">
        <f aca="false">M6*Farazlar!$B$13</f>
        <v>26638515.3296292</v>
      </c>
      <c r="N7" s="4" t="n">
        <f aca="false">SUM(B7:M7)</f>
        <v>198688004.341989</v>
      </c>
    </row>
    <row r="8" customFormat="false" ht="15" hidden="false" customHeight="false" outlineLevel="0" collapsed="false">
      <c r="A8" s="0" t="s">
        <v>52</v>
      </c>
      <c r="B8" s="4" t="n">
        <f aca="false">Farazlar!$B$14</f>
        <v>100</v>
      </c>
      <c r="C8" s="4" t="n">
        <f aca="false">B8*(1+Farazlar!$B$15)</f>
        <v>120</v>
      </c>
      <c r="D8" s="4" t="n">
        <f aca="false">C8*(1+Farazlar!$B$15)</f>
        <v>144</v>
      </c>
      <c r="E8" s="4" t="n">
        <f aca="false">D8*(1+Farazlar!$B$15)</f>
        <v>172.8</v>
      </c>
      <c r="F8" s="4" t="n">
        <f aca="false">E8*(1+Farazlar!$B$15)</f>
        <v>207.36</v>
      </c>
      <c r="G8" s="4" t="n">
        <f aca="false">F8*(1+Farazlar!$B$15)</f>
        <v>248.832</v>
      </c>
      <c r="H8" s="4" t="n">
        <f aca="false">G8*(1+Farazlar!$B$15)</f>
        <v>298.5984</v>
      </c>
      <c r="I8" s="4" t="n">
        <f aca="false">H8*(1+Farazlar!$B$15)</f>
        <v>358.31808</v>
      </c>
      <c r="J8" s="4" t="n">
        <f aca="false">I8*(1+Farazlar!$B$15)</f>
        <v>429.981696</v>
      </c>
      <c r="K8" s="4" t="n">
        <f aca="false">J8*(1+Farazlar!$B$15)</f>
        <v>515.9780352</v>
      </c>
      <c r="L8" s="4" t="n">
        <f aca="false">K8*(1+Farazlar!$B$15)</f>
        <v>619.17364224</v>
      </c>
      <c r="M8" s="4" t="n">
        <f aca="false">L8*(1+Farazlar!$B$15)</f>
        <v>743.008370688</v>
      </c>
      <c r="N8" s="4"/>
    </row>
    <row r="9" customFormat="false" ht="15" hidden="false" customHeight="false" outlineLevel="0" collapsed="false">
      <c r="A9" s="0" t="s">
        <v>53</v>
      </c>
      <c r="B9" s="4" t="n">
        <f aca="false">B8*Farazlar!$B$16</f>
        <v>3000000</v>
      </c>
      <c r="C9" s="4" t="n">
        <f aca="false">C8*Farazlar!$B$16</f>
        <v>3600000</v>
      </c>
      <c r="D9" s="4" t="n">
        <f aca="false">D8*Farazlar!$B$16</f>
        <v>4320000</v>
      </c>
      <c r="E9" s="4" t="n">
        <f aca="false">E8*Farazlar!$B$16</f>
        <v>5184000</v>
      </c>
      <c r="F9" s="4" t="n">
        <f aca="false">F8*Farazlar!$B$16</f>
        <v>6220800</v>
      </c>
      <c r="G9" s="4" t="n">
        <f aca="false">G8*Farazlar!$B$16</f>
        <v>7464960</v>
      </c>
      <c r="H9" s="4" t="n">
        <f aca="false">H8*Farazlar!$B$16</f>
        <v>8957952</v>
      </c>
      <c r="I9" s="4" t="n">
        <f aca="false">I8*Farazlar!$B$16</f>
        <v>10749542.4</v>
      </c>
      <c r="J9" s="4" t="n">
        <f aca="false">J8*Farazlar!$B$16</f>
        <v>12899450.88</v>
      </c>
      <c r="K9" s="4" t="n">
        <f aca="false">K8*Farazlar!$B$16</f>
        <v>15479341.056</v>
      </c>
      <c r="L9" s="4" t="n">
        <f aca="false">L8*Farazlar!$B$16</f>
        <v>18575209.2672</v>
      </c>
      <c r="M9" s="4" t="n">
        <f aca="false">M8*Farazlar!$B$16</f>
        <v>22290251.12064</v>
      </c>
      <c r="N9" s="4" t="n">
        <f aca="false">SUM(B9:M9)</f>
        <v>118741506.72384</v>
      </c>
    </row>
    <row r="10" customFormat="false" ht="15" hidden="false" customHeight="false" outlineLevel="0" collapsed="false">
      <c r="A10" s="0" t="s">
        <v>54</v>
      </c>
      <c r="B10" s="4" t="n">
        <f aca="false">B4+B5+B7+B9</f>
        <v>22400000</v>
      </c>
      <c r="C10" s="4" t="n">
        <f aca="false">C4+C5+C7+C9</f>
        <v>25988000</v>
      </c>
      <c r="D10" s="4" t="n">
        <f aca="false">D4+D5+D7+D9</f>
        <v>29741360</v>
      </c>
      <c r="E10" s="4" t="n">
        <f aca="false">E4+E5+E7+E9</f>
        <v>33702969.2</v>
      </c>
      <c r="F10" s="4" t="n">
        <f aca="false">F4+F5+F7+F9</f>
        <v>37922987.624</v>
      </c>
      <c r="G10" s="4" t="n">
        <f aca="false">G4+G5+G7+G9</f>
        <v>42460187.62028</v>
      </c>
      <c r="H10" s="4" t="n">
        <f aca="false">H4+H5+H7+H9</f>
        <v>47383544.2604216</v>
      </c>
      <c r="I10" s="4" t="n">
        <f aca="false">I4+I5+I7+I9</f>
        <v>52774121.5816714</v>
      </c>
      <c r="J10" s="4" t="n">
        <f aca="false">J4+J5+J7+J9</f>
        <v>58727310.5786432</v>
      </c>
      <c r="K10" s="4" t="n">
        <f aca="false">K4+K5+K7+K9</f>
        <v>65355485.539969</v>
      </c>
      <c r="L10" s="4" t="n">
        <f aca="false">L4+L5+L7+L9</f>
        <v>72791158.0793779</v>
      </c>
      <c r="M10" s="4" t="n">
        <f aca="false">M4+M5+M7+M9</f>
        <v>81190723.4305897</v>
      </c>
      <c r="N10" s="4" t="n">
        <f aca="false">SUM(B10:M10)</f>
        <v>570437847.914953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0" t="s">
        <v>1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56</v>
      </c>
      <c r="B3" s="4" t="n">
        <f aca="false">Farazlar!$B$17</f>
        <v>40000000</v>
      </c>
      <c r="C3" s="4" t="n">
        <f aca="false">Farazlar!$B$17</f>
        <v>40000000</v>
      </c>
      <c r="D3" s="4" t="n">
        <f aca="false">Farazlar!$B$17</f>
        <v>40000000</v>
      </c>
      <c r="E3" s="4" t="n">
        <f aca="false">Farazlar!$B$17</f>
        <v>40000000</v>
      </c>
      <c r="F3" s="4" t="n">
        <f aca="false">Farazlar!$B$17</f>
        <v>40000000</v>
      </c>
      <c r="G3" s="4" t="n">
        <f aca="false">Farazlar!$B$17</f>
        <v>40000000</v>
      </c>
      <c r="H3" s="4" t="n">
        <f aca="false">Farazlar!$B$17</f>
        <v>40000000</v>
      </c>
      <c r="I3" s="4" t="n">
        <f aca="false">Farazlar!$B$17</f>
        <v>40000000</v>
      </c>
      <c r="J3" s="4" t="n">
        <f aca="false">Farazlar!$B$17</f>
        <v>40000000</v>
      </c>
      <c r="K3" s="4" t="n">
        <f aca="false">Farazlar!$B$17</f>
        <v>40000000</v>
      </c>
      <c r="L3" s="4" t="n">
        <f aca="false">Farazlar!$B$17</f>
        <v>40000000</v>
      </c>
      <c r="M3" s="4" t="n">
        <f aca="false">Farazlar!$B$17</f>
        <v>40000000</v>
      </c>
      <c r="N3" s="4" t="n">
        <f aca="false">SUM(B3:M3)</f>
        <v>480000000</v>
      </c>
    </row>
    <row r="4" customFormat="false" ht="15" hidden="false" customHeight="false" outlineLevel="0" collapsed="false">
      <c r="A4" s="0" t="s">
        <v>57</v>
      </c>
      <c r="B4" s="4" t="n">
        <f aca="false">Farazlar!$B$18</f>
        <v>15000000</v>
      </c>
      <c r="C4" s="4" t="n">
        <f aca="false">Farazlar!$B$18</f>
        <v>15000000</v>
      </c>
      <c r="D4" s="4" t="n">
        <f aca="false">Farazlar!$B$18</f>
        <v>15000000</v>
      </c>
      <c r="E4" s="4" t="n">
        <f aca="false">Farazlar!$B$18</f>
        <v>15000000</v>
      </c>
      <c r="F4" s="4" t="n">
        <f aca="false">Farazlar!$B$18</f>
        <v>15000000</v>
      </c>
      <c r="G4" s="4" t="n">
        <f aca="false">Farazlar!$B$18</f>
        <v>15000000</v>
      </c>
      <c r="H4" s="4" t="n">
        <f aca="false">Farazlar!$B$18</f>
        <v>15000000</v>
      </c>
      <c r="I4" s="4" t="n">
        <f aca="false">Farazlar!$B$18</f>
        <v>15000000</v>
      </c>
      <c r="J4" s="4" t="n">
        <f aca="false">Farazlar!$B$18</f>
        <v>15000000</v>
      </c>
      <c r="K4" s="4" t="n">
        <f aca="false">Farazlar!$B$18</f>
        <v>15000000</v>
      </c>
      <c r="L4" s="4" t="n">
        <f aca="false">Farazlar!$B$18</f>
        <v>15000000</v>
      </c>
      <c r="M4" s="4" t="n">
        <f aca="false">Farazlar!$B$18</f>
        <v>15000000</v>
      </c>
      <c r="N4" s="4" t="n">
        <f aca="false">SUM(B4:M4)</f>
        <v>180000000</v>
      </c>
    </row>
    <row r="5" customFormat="false" ht="15" hidden="false" customHeight="false" outlineLevel="0" collapsed="false">
      <c r="A5" s="0" t="s">
        <v>26</v>
      </c>
      <c r="B5" s="4" t="n">
        <f aca="false">Farazlar!$B$19</f>
        <v>3000000</v>
      </c>
      <c r="C5" s="4" t="n">
        <f aca="false">Farazlar!$B$19</f>
        <v>3000000</v>
      </c>
      <c r="D5" s="4" t="n">
        <f aca="false">Farazlar!$B$19</f>
        <v>3000000</v>
      </c>
      <c r="E5" s="4" t="n">
        <f aca="false">Farazlar!$B$19</f>
        <v>3000000</v>
      </c>
      <c r="F5" s="4" t="n">
        <f aca="false">Farazlar!$B$19</f>
        <v>3000000</v>
      </c>
      <c r="G5" s="4" t="n">
        <f aca="false">Farazlar!$B$19</f>
        <v>3000000</v>
      </c>
      <c r="H5" s="4" t="n">
        <f aca="false">Farazlar!$B$19</f>
        <v>3000000</v>
      </c>
      <c r="I5" s="4" t="n">
        <f aca="false">Farazlar!$B$19</f>
        <v>3000000</v>
      </c>
      <c r="J5" s="4" t="n">
        <f aca="false">Farazlar!$B$19</f>
        <v>3000000</v>
      </c>
      <c r="K5" s="4" t="n">
        <f aca="false">Farazlar!$B$19</f>
        <v>3000000</v>
      </c>
      <c r="L5" s="4" t="n">
        <f aca="false">Farazlar!$B$19</f>
        <v>3000000</v>
      </c>
      <c r="M5" s="4" t="n">
        <f aca="false">Farazlar!$B$19</f>
        <v>3000000</v>
      </c>
      <c r="N5" s="4" t="n">
        <f aca="false">SUM(B5:M5)</f>
        <v>36000000</v>
      </c>
    </row>
    <row r="6" customFormat="false" ht="15" hidden="false" customHeight="false" outlineLevel="0" collapsed="false">
      <c r="A6" s="0" t="s">
        <v>58</v>
      </c>
      <c r="B6" s="4" t="n">
        <f aca="false">Farazlar!$B$20</f>
        <v>2000000</v>
      </c>
      <c r="C6" s="4" t="n">
        <f aca="false">Farazlar!$B$20</f>
        <v>2000000</v>
      </c>
      <c r="D6" s="4" t="n">
        <f aca="false">Farazlar!$B$20</f>
        <v>2000000</v>
      </c>
      <c r="E6" s="4" t="n">
        <f aca="false">Farazlar!$B$20</f>
        <v>2000000</v>
      </c>
      <c r="F6" s="4" t="n">
        <f aca="false">Farazlar!$B$20</f>
        <v>2000000</v>
      </c>
      <c r="G6" s="4" t="n">
        <f aca="false">Farazlar!$B$20</f>
        <v>2000000</v>
      </c>
      <c r="H6" s="4" t="n">
        <f aca="false">Farazlar!$B$20</f>
        <v>2000000</v>
      </c>
      <c r="I6" s="4" t="n">
        <f aca="false">Farazlar!$B$20</f>
        <v>2000000</v>
      </c>
      <c r="J6" s="4" t="n">
        <f aca="false">Farazlar!$B$20</f>
        <v>2000000</v>
      </c>
      <c r="K6" s="4" t="n">
        <f aca="false">Farazlar!$B$20</f>
        <v>2000000</v>
      </c>
      <c r="L6" s="4" t="n">
        <f aca="false">Farazlar!$B$20</f>
        <v>2000000</v>
      </c>
      <c r="M6" s="4" t="n">
        <f aca="false">Farazlar!$B$20</f>
        <v>2000000</v>
      </c>
      <c r="N6" s="4" t="n">
        <f aca="false">SUM(B6:M6)</f>
        <v>24000000</v>
      </c>
    </row>
    <row r="7" customFormat="false" ht="15" hidden="false" customHeight="false" outlineLevel="0" collapsed="false">
      <c r="A7" s="0" t="s">
        <v>59</v>
      </c>
      <c r="B7" s="4" t="n">
        <f aca="false">Daromad!B10*Farazlar!$B$21</f>
        <v>336000</v>
      </c>
      <c r="C7" s="4" t="n">
        <f aca="false">Daromad!C10*Farazlar!$B$21</f>
        <v>389820</v>
      </c>
      <c r="D7" s="4" t="n">
        <f aca="false">Daromad!D10*Farazlar!$B$21</f>
        <v>446120.4</v>
      </c>
      <c r="E7" s="4" t="n">
        <f aca="false">Daromad!E10*Farazlar!$B$21</f>
        <v>505544.538</v>
      </c>
      <c r="F7" s="4" t="n">
        <f aca="false">Daromad!F10*Farazlar!$B$21</f>
        <v>568844.81436</v>
      </c>
      <c r="G7" s="4" t="n">
        <f aca="false">Daromad!G10*Farazlar!$B$21</f>
        <v>636902.8143042</v>
      </c>
      <c r="H7" s="4" t="n">
        <f aca="false">Daromad!H10*Farazlar!$B$21</f>
        <v>710753.163906324</v>
      </c>
      <c r="I7" s="4" t="n">
        <f aca="false">Daromad!I10*Farazlar!$B$21</f>
        <v>791611.823725072</v>
      </c>
      <c r="J7" s="4" t="n">
        <f aca="false">Daromad!J10*Farazlar!$B$21</f>
        <v>880909.658679648</v>
      </c>
      <c r="K7" s="4" t="n">
        <f aca="false">Daromad!K10*Farazlar!$B$21</f>
        <v>980332.283099535</v>
      </c>
      <c r="L7" s="4" t="n">
        <f aca="false">Daromad!L10*Farazlar!$B$21</f>
        <v>1091867.37119067</v>
      </c>
      <c r="M7" s="4" t="n">
        <f aca="false">Daromad!M10*Farazlar!$B$21</f>
        <v>1217860.85145884</v>
      </c>
      <c r="N7" s="4" t="n">
        <f aca="false">SUM(B7:M7)</f>
        <v>8556567.71872429</v>
      </c>
    </row>
    <row r="8" customFormat="false" ht="15" hidden="false" customHeight="false" outlineLevel="0" collapsed="false">
      <c r="A8" s="0" t="s">
        <v>60</v>
      </c>
      <c r="B8" s="4" t="n">
        <f aca="false">Daromad!B10*Farazlar!$B$22</f>
        <v>896000</v>
      </c>
      <c r="C8" s="4" t="n">
        <f aca="false">Daromad!C10*Farazlar!$B$22</f>
        <v>1039520</v>
      </c>
      <c r="D8" s="4" t="n">
        <f aca="false">Daromad!D10*Farazlar!$B$22</f>
        <v>1189654.4</v>
      </c>
      <c r="E8" s="4" t="n">
        <f aca="false">Daromad!E10*Farazlar!$B$22</f>
        <v>1348118.768</v>
      </c>
      <c r="F8" s="4" t="n">
        <f aca="false">Daromad!F10*Farazlar!$B$22</f>
        <v>1516919.50496</v>
      </c>
      <c r="G8" s="4" t="n">
        <f aca="false">Daromad!G10*Farazlar!$B$22</f>
        <v>1698407.5048112</v>
      </c>
      <c r="H8" s="4" t="n">
        <f aca="false">Daromad!H10*Farazlar!$B$22</f>
        <v>1895341.77041686</v>
      </c>
      <c r="I8" s="4" t="n">
        <f aca="false">Daromad!I10*Farazlar!$B$22</f>
        <v>2110964.86326686</v>
      </c>
      <c r="J8" s="4" t="n">
        <f aca="false">Daromad!J10*Farazlar!$B$22</f>
        <v>2349092.42314573</v>
      </c>
      <c r="K8" s="4" t="n">
        <f aca="false">Daromad!K10*Farazlar!$B$22</f>
        <v>2614219.42159876</v>
      </c>
      <c r="L8" s="4" t="n">
        <f aca="false">Daromad!L10*Farazlar!$B$22</f>
        <v>2911646.32317512</v>
      </c>
      <c r="M8" s="4" t="n">
        <f aca="false">Daromad!M10*Farazlar!$B$22</f>
        <v>3247628.93722359</v>
      </c>
      <c r="N8" s="4" t="n">
        <f aca="false">SUM(B8:M8)</f>
        <v>22817513.9165981</v>
      </c>
    </row>
    <row r="9" customFormat="false" ht="15" hidden="false" customHeight="false" outlineLevel="0" collapsed="false">
      <c r="A9" s="0" t="s">
        <v>61</v>
      </c>
      <c r="B9" s="4" t="n">
        <f aca="false">SUM(B3:B8)</f>
        <v>61232000</v>
      </c>
      <c r="C9" s="4" t="n">
        <f aca="false">SUM(C3:C8)</f>
        <v>61429340</v>
      </c>
      <c r="D9" s="4" t="n">
        <f aca="false">SUM(D3:D8)</f>
        <v>61635774.8</v>
      </c>
      <c r="E9" s="4" t="n">
        <f aca="false">SUM(E3:E8)</f>
        <v>61853663.306</v>
      </c>
      <c r="F9" s="4" t="n">
        <f aca="false">SUM(F3:F8)</f>
        <v>62085764.31932</v>
      </c>
      <c r="G9" s="4" t="n">
        <f aca="false">SUM(G3:G8)</f>
        <v>62335310.3191154</v>
      </c>
      <c r="H9" s="4" t="n">
        <f aca="false">SUM(H3:H8)</f>
        <v>62606094.9343232</v>
      </c>
      <c r="I9" s="4" t="n">
        <f aca="false">SUM(I3:I8)</f>
        <v>62902576.6869919</v>
      </c>
      <c r="J9" s="4" t="n">
        <f aca="false">SUM(J3:J8)</f>
        <v>63230002.0818254</v>
      </c>
      <c r="K9" s="4" t="n">
        <f aca="false">SUM(K3:K8)</f>
        <v>63594551.7046983</v>
      </c>
      <c r="L9" s="4" t="n">
        <f aca="false">SUM(L3:L8)</f>
        <v>64003513.6943658</v>
      </c>
      <c r="M9" s="4" t="n">
        <f aca="false">SUM(M3:M8)</f>
        <v>64465489.7886824</v>
      </c>
      <c r="N9" s="4" t="n">
        <f aca="false">SUM(B9:M9)</f>
        <v>751374081.635323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0" t="s">
        <v>1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63</v>
      </c>
      <c r="B3" s="4" t="n">
        <f aca="false">Daromad!B10</f>
        <v>22400000</v>
      </c>
      <c r="C3" s="4" t="n">
        <f aca="false">Daromad!C10</f>
        <v>25988000</v>
      </c>
      <c r="D3" s="4" t="n">
        <f aca="false">Daromad!D10</f>
        <v>29741360</v>
      </c>
      <c r="E3" s="4" t="n">
        <f aca="false">Daromad!E10</f>
        <v>33702969.2</v>
      </c>
      <c r="F3" s="4" t="n">
        <f aca="false">Daromad!F10</f>
        <v>37922987.624</v>
      </c>
      <c r="G3" s="4" t="n">
        <f aca="false">Daromad!G10</f>
        <v>42460187.62028</v>
      </c>
      <c r="H3" s="4" t="n">
        <f aca="false">Daromad!H10</f>
        <v>47383544.2604216</v>
      </c>
      <c r="I3" s="4" t="n">
        <f aca="false">Daromad!I10</f>
        <v>52774121.5816714</v>
      </c>
      <c r="J3" s="4" t="n">
        <f aca="false">Daromad!J10</f>
        <v>58727310.5786432</v>
      </c>
      <c r="K3" s="4" t="n">
        <f aca="false">Daromad!K10</f>
        <v>65355485.539969</v>
      </c>
      <c r="L3" s="4" t="n">
        <f aca="false">Daromad!L10</f>
        <v>72791158.0793779</v>
      </c>
      <c r="M3" s="4" t="n">
        <f aca="false">Daromad!M10</f>
        <v>81190723.4305897</v>
      </c>
      <c r="N3" s="4" t="n">
        <f aca="false">SUM(B3:M3)</f>
        <v>570437847.914953</v>
      </c>
    </row>
    <row r="4" customFormat="false" ht="15" hidden="false" customHeight="false" outlineLevel="0" collapsed="false">
      <c r="A4" s="0" t="s">
        <v>64</v>
      </c>
      <c r="B4" s="4" t="n">
        <f aca="false">Xarajatlar!B7+Xarajatlar!B8</f>
        <v>1232000</v>
      </c>
      <c r="C4" s="4" t="n">
        <f aca="false">Xarajatlar!C7+Xarajatlar!C8</f>
        <v>1429340</v>
      </c>
      <c r="D4" s="4" t="n">
        <f aca="false">Xarajatlar!D7+Xarajatlar!D8</f>
        <v>1635774.8</v>
      </c>
      <c r="E4" s="4" t="n">
        <f aca="false">Xarajatlar!E7+Xarajatlar!E8</f>
        <v>1853663.306</v>
      </c>
      <c r="F4" s="4" t="n">
        <f aca="false">Xarajatlar!F7+Xarajatlar!F8</f>
        <v>2085764.31932</v>
      </c>
      <c r="G4" s="4" t="n">
        <f aca="false">Xarajatlar!G7+Xarajatlar!G8</f>
        <v>2335310.3191154</v>
      </c>
      <c r="H4" s="4" t="n">
        <f aca="false">Xarajatlar!H7+Xarajatlar!H8</f>
        <v>2606094.93432319</v>
      </c>
      <c r="I4" s="4" t="n">
        <f aca="false">Xarajatlar!I7+Xarajatlar!I8</f>
        <v>2902576.68699193</v>
      </c>
      <c r="J4" s="4" t="n">
        <f aca="false">Xarajatlar!J7+Xarajatlar!J8</f>
        <v>3230002.08182537</v>
      </c>
      <c r="K4" s="4" t="n">
        <f aca="false">Xarajatlar!K7+Xarajatlar!K8</f>
        <v>3594551.7046983</v>
      </c>
      <c r="L4" s="4" t="n">
        <f aca="false">Xarajatlar!L7+Xarajatlar!L8</f>
        <v>4003513.69436578</v>
      </c>
      <c r="M4" s="4" t="n">
        <f aca="false">Xarajatlar!M7+Xarajatlar!M8</f>
        <v>4465489.78868243</v>
      </c>
      <c r="N4" s="4" t="n">
        <f aca="false">SUM(B4:M4)</f>
        <v>31374081.6353224</v>
      </c>
    </row>
    <row r="5" customFormat="false" ht="15" hidden="false" customHeight="false" outlineLevel="0" collapsed="false">
      <c r="A5" s="0" t="s">
        <v>65</v>
      </c>
      <c r="B5" s="4" t="n">
        <f aca="false">B3-B4</f>
        <v>21168000</v>
      </c>
      <c r="C5" s="4" t="n">
        <f aca="false">C3-C4</f>
        <v>24558660</v>
      </c>
      <c r="D5" s="4" t="n">
        <f aca="false">D3-D4</f>
        <v>28105585.2</v>
      </c>
      <c r="E5" s="4" t="n">
        <f aca="false">E3-E4</f>
        <v>31849305.894</v>
      </c>
      <c r="F5" s="4" t="n">
        <f aca="false">F3-F4</f>
        <v>35837223.30468</v>
      </c>
      <c r="G5" s="4" t="n">
        <f aca="false">G3-G4</f>
        <v>40124877.3011646</v>
      </c>
      <c r="H5" s="4" t="n">
        <f aca="false">H3-H4</f>
        <v>44777449.3260984</v>
      </c>
      <c r="I5" s="4" t="n">
        <f aca="false">I3-I4</f>
        <v>49871544.8946795</v>
      </c>
      <c r="J5" s="4" t="n">
        <f aca="false">J3-J4</f>
        <v>55497308.4968178</v>
      </c>
      <c r="K5" s="4" t="n">
        <f aca="false">K3-K4</f>
        <v>61760933.8352707</v>
      </c>
      <c r="L5" s="4" t="n">
        <f aca="false">L3-L4</f>
        <v>68787644.3850121</v>
      </c>
      <c r="M5" s="4" t="n">
        <f aca="false">M3-M4</f>
        <v>76725233.6419072</v>
      </c>
      <c r="N5" s="4" t="n">
        <f aca="false">SUM(B5:M5)</f>
        <v>539063766.27963</v>
      </c>
    </row>
    <row r="6" customFormat="false" ht="15" hidden="false" customHeight="false" outlineLevel="0" collapsed="false">
      <c r="A6" s="0" t="s">
        <v>66</v>
      </c>
      <c r="B6" s="4" t="n">
        <f aca="false">SUM(Xarajatlar!B3:B6)</f>
        <v>60000000</v>
      </c>
      <c r="C6" s="4" t="n">
        <f aca="false">SUM(Xarajatlar!C3:C6)</f>
        <v>60000000</v>
      </c>
      <c r="D6" s="4" t="n">
        <f aca="false">SUM(Xarajatlar!D3:D6)</f>
        <v>60000000</v>
      </c>
      <c r="E6" s="4" t="n">
        <f aca="false">SUM(Xarajatlar!E3:E6)</f>
        <v>60000000</v>
      </c>
      <c r="F6" s="4" t="n">
        <f aca="false">SUM(Xarajatlar!F3:F6)</f>
        <v>60000000</v>
      </c>
      <c r="G6" s="4" t="n">
        <f aca="false">SUM(Xarajatlar!G3:G6)</f>
        <v>60000000</v>
      </c>
      <c r="H6" s="4" t="n">
        <f aca="false">SUM(Xarajatlar!H3:H6)</f>
        <v>60000000</v>
      </c>
      <c r="I6" s="4" t="n">
        <f aca="false">SUM(Xarajatlar!I3:I6)</f>
        <v>60000000</v>
      </c>
      <c r="J6" s="4" t="n">
        <f aca="false">SUM(Xarajatlar!J3:J6)</f>
        <v>60000000</v>
      </c>
      <c r="K6" s="4" t="n">
        <f aca="false">SUM(Xarajatlar!K3:K6)</f>
        <v>60000000</v>
      </c>
      <c r="L6" s="4" t="n">
        <f aca="false">SUM(Xarajatlar!L3:L6)</f>
        <v>60000000</v>
      </c>
      <c r="M6" s="4" t="n">
        <f aca="false">SUM(Xarajatlar!M3:M6)</f>
        <v>60000000</v>
      </c>
      <c r="N6" s="4" t="n">
        <f aca="false">SUM(B6:M6)</f>
        <v>720000000</v>
      </c>
    </row>
    <row r="7" customFormat="false" ht="15" hidden="false" customHeight="false" outlineLevel="0" collapsed="false">
      <c r="A7" s="0" t="s">
        <v>67</v>
      </c>
      <c r="B7" s="4" t="n">
        <f aca="false">B5-B6</f>
        <v>-38832000</v>
      </c>
      <c r="C7" s="4" t="n">
        <f aca="false">C5-C6</f>
        <v>-35441340</v>
      </c>
      <c r="D7" s="4" t="n">
        <f aca="false">D5-D6</f>
        <v>-31894414.8</v>
      </c>
      <c r="E7" s="4" t="n">
        <f aca="false">E5-E6</f>
        <v>-28150694.106</v>
      </c>
      <c r="F7" s="4" t="n">
        <f aca="false">F5-F6</f>
        <v>-24162776.69532</v>
      </c>
      <c r="G7" s="4" t="n">
        <f aca="false">G5-G6</f>
        <v>-19875122.6988354</v>
      </c>
      <c r="H7" s="4" t="n">
        <f aca="false">H5-H6</f>
        <v>-15222550.6739016</v>
      </c>
      <c r="I7" s="4" t="n">
        <f aca="false">I5-I6</f>
        <v>-10128455.1053205</v>
      </c>
      <c r="J7" s="4" t="n">
        <f aca="false">J5-J6</f>
        <v>-4502691.5031822</v>
      </c>
      <c r="K7" s="4" t="n">
        <f aca="false">K5-K6</f>
        <v>1760933.83527073</v>
      </c>
      <c r="L7" s="4" t="n">
        <f aca="false">L5-L6</f>
        <v>8787644.38501209</v>
      </c>
      <c r="M7" s="4" t="n">
        <f aca="false">M5-M6</f>
        <v>16725233.6419072</v>
      </c>
      <c r="N7" s="4" t="n">
        <f aca="false">SUM(B7:M7)</f>
        <v>-180936233.72037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0" t="s">
        <v>1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69</v>
      </c>
      <c r="B3" s="4" t="n">
        <f aca="false">Farazlar!$B$23</f>
        <v>200000000</v>
      </c>
      <c r="C3" s="4" t="n">
        <f aca="false">B7</f>
        <v>161168000</v>
      </c>
      <c r="D3" s="4" t="n">
        <f aca="false">C7</f>
        <v>125726660</v>
      </c>
      <c r="E3" s="4" t="n">
        <f aca="false">D7</f>
        <v>93832245.2</v>
      </c>
      <c r="F3" s="4" t="n">
        <f aca="false">E7</f>
        <v>65681551.094</v>
      </c>
      <c r="G3" s="4" t="n">
        <f aca="false">F7</f>
        <v>41518774.39868</v>
      </c>
      <c r="H3" s="4" t="n">
        <f aca="false">G7</f>
        <v>21643651.6998446</v>
      </c>
      <c r="I3" s="4" t="n">
        <f aca="false">H7</f>
        <v>6421101.025943</v>
      </c>
      <c r="J3" s="4" t="n">
        <f aca="false">I7</f>
        <v>-3707354.07937749</v>
      </c>
      <c r="K3" s="4" t="n">
        <f aca="false">J7</f>
        <v>-8210045.5825597</v>
      </c>
      <c r="L3" s="4" t="n">
        <f aca="false">K7</f>
        <v>-6449111.74728897</v>
      </c>
      <c r="M3" s="4" t="n">
        <f aca="false">L7</f>
        <v>2338532.63772313</v>
      </c>
      <c r="N3" s="4"/>
    </row>
    <row r="4" customFormat="false" ht="15" hidden="false" customHeight="false" outlineLevel="0" collapsed="false">
      <c r="A4" s="0" t="s">
        <v>70</v>
      </c>
      <c r="B4" s="4" t="n">
        <f aca="false">Daromad!B10</f>
        <v>22400000</v>
      </c>
      <c r="C4" s="4" t="n">
        <f aca="false">Daromad!C10</f>
        <v>25988000</v>
      </c>
      <c r="D4" s="4" t="n">
        <f aca="false">Daromad!D10</f>
        <v>29741360</v>
      </c>
      <c r="E4" s="4" t="n">
        <f aca="false">Daromad!E10</f>
        <v>33702969.2</v>
      </c>
      <c r="F4" s="4" t="n">
        <f aca="false">Daromad!F10</f>
        <v>37922987.624</v>
      </c>
      <c r="G4" s="4" t="n">
        <f aca="false">Daromad!G10</f>
        <v>42460187.62028</v>
      </c>
      <c r="H4" s="4" t="n">
        <f aca="false">Daromad!H10</f>
        <v>47383544.2604216</v>
      </c>
      <c r="I4" s="4" t="n">
        <f aca="false">Daromad!I10</f>
        <v>52774121.5816714</v>
      </c>
      <c r="J4" s="4" t="n">
        <f aca="false">Daromad!J10</f>
        <v>58727310.5786432</v>
      </c>
      <c r="K4" s="4" t="n">
        <f aca="false">Daromad!K10</f>
        <v>65355485.539969</v>
      </c>
      <c r="L4" s="4" t="n">
        <f aca="false">Daromad!L10</f>
        <v>72791158.0793779</v>
      </c>
      <c r="M4" s="4" t="n">
        <f aca="false">Daromad!M10</f>
        <v>81190723.4305897</v>
      </c>
      <c r="N4" s="4" t="n">
        <f aca="false">SUM(B4:M4)</f>
        <v>570437847.914953</v>
      </c>
    </row>
    <row r="5" customFormat="false" ht="15" hidden="false" customHeight="false" outlineLevel="0" collapsed="false">
      <c r="A5" s="0" t="s">
        <v>71</v>
      </c>
      <c r="B5" s="4" t="n">
        <f aca="false">Xarajatlar!B9</f>
        <v>61232000</v>
      </c>
      <c r="C5" s="4" t="n">
        <f aca="false">Xarajatlar!C9</f>
        <v>61429340</v>
      </c>
      <c r="D5" s="4" t="n">
        <f aca="false">Xarajatlar!D9</f>
        <v>61635774.8</v>
      </c>
      <c r="E5" s="4" t="n">
        <f aca="false">Xarajatlar!E9</f>
        <v>61853663.306</v>
      </c>
      <c r="F5" s="4" t="n">
        <f aca="false">Xarajatlar!F9</f>
        <v>62085764.31932</v>
      </c>
      <c r="G5" s="4" t="n">
        <f aca="false">Xarajatlar!G9</f>
        <v>62335310.3191154</v>
      </c>
      <c r="H5" s="4" t="n">
        <f aca="false">Xarajatlar!H9</f>
        <v>62606094.9343232</v>
      </c>
      <c r="I5" s="4" t="n">
        <f aca="false">Xarajatlar!I9</f>
        <v>62902576.6869919</v>
      </c>
      <c r="J5" s="4" t="n">
        <f aca="false">Xarajatlar!J9</f>
        <v>63230002.0818254</v>
      </c>
      <c r="K5" s="4" t="n">
        <f aca="false">Xarajatlar!K9</f>
        <v>63594551.7046983</v>
      </c>
      <c r="L5" s="4" t="n">
        <f aca="false">Xarajatlar!L9</f>
        <v>64003513.6943658</v>
      </c>
      <c r="M5" s="4" t="n">
        <f aca="false">Xarajatlar!M9</f>
        <v>64465489.7886824</v>
      </c>
      <c r="N5" s="4" t="n">
        <f aca="false">SUM(B5:M5)</f>
        <v>751374081.635323</v>
      </c>
    </row>
    <row r="6" customFormat="false" ht="15" hidden="false" customHeight="false" outlineLevel="0" collapsed="false">
      <c r="A6" s="0" t="s">
        <v>72</v>
      </c>
      <c r="B6" s="4" t="n">
        <f aca="false">B4-B5</f>
        <v>-38832000</v>
      </c>
      <c r="C6" s="4" t="n">
        <f aca="false">C4-C5</f>
        <v>-35441340</v>
      </c>
      <c r="D6" s="4" t="n">
        <f aca="false">D4-D5</f>
        <v>-31894414.8</v>
      </c>
      <c r="E6" s="4" t="n">
        <f aca="false">E4-E5</f>
        <v>-28150694.106</v>
      </c>
      <c r="F6" s="4" t="n">
        <f aca="false">F4-F5</f>
        <v>-24162776.69532</v>
      </c>
      <c r="G6" s="4" t="n">
        <f aca="false">G4-G5</f>
        <v>-19875122.6988354</v>
      </c>
      <c r="H6" s="4" t="n">
        <f aca="false">H4-H5</f>
        <v>-15222550.6739016</v>
      </c>
      <c r="I6" s="4" t="n">
        <f aca="false">I4-I5</f>
        <v>-10128455.1053205</v>
      </c>
      <c r="J6" s="4" t="n">
        <f aca="false">J4-J5</f>
        <v>-4502691.5031822</v>
      </c>
      <c r="K6" s="4" t="n">
        <f aca="false">K4-K5</f>
        <v>1760933.83527073</v>
      </c>
      <c r="L6" s="4" t="n">
        <f aca="false">L4-L5</f>
        <v>8787644.38501209</v>
      </c>
      <c r="M6" s="4" t="n">
        <f aca="false">M4-M5</f>
        <v>16725233.6419072</v>
      </c>
      <c r="N6" s="4" t="n">
        <f aca="false">SUM(B6:M6)</f>
        <v>-180936233.72037</v>
      </c>
    </row>
    <row r="7" customFormat="false" ht="15" hidden="false" customHeight="false" outlineLevel="0" collapsed="false">
      <c r="A7" s="0" t="s">
        <v>73</v>
      </c>
      <c r="B7" s="4" t="n">
        <f aca="false">B3+B6</f>
        <v>161168000</v>
      </c>
      <c r="C7" s="4" t="n">
        <f aca="false">C3+C6</f>
        <v>125726660</v>
      </c>
      <c r="D7" s="4" t="n">
        <f aca="false">D3+D6</f>
        <v>93832245.2</v>
      </c>
      <c r="E7" s="4" t="n">
        <f aca="false">E3+E6</f>
        <v>65681551.094</v>
      </c>
      <c r="F7" s="4" t="n">
        <f aca="false">F3+F6</f>
        <v>41518774.39868</v>
      </c>
      <c r="G7" s="4" t="n">
        <f aca="false">G3+G6</f>
        <v>21643651.6998446</v>
      </c>
      <c r="H7" s="4" t="n">
        <f aca="false">H3+H6</f>
        <v>6421101.025943</v>
      </c>
      <c r="I7" s="4" t="n">
        <f aca="false">I3+I6</f>
        <v>-3707354.07937749</v>
      </c>
      <c r="J7" s="4" t="n">
        <f aca="false">J3+J6</f>
        <v>-8210045.5825597</v>
      </c>
      <c r="K7" s="4" t="n">
        <f aca="false">K3+K6</f>
        <v>-6449111.74728897</v>
      </c>
      <c r="L7" s="4" t="n">
        <f aca="false">L3+L6</f>
        <v>2338532.63772313</v>
      </c>
      <c r="M7" s="4" t="n">
        <f aca="false">M3+M6</f>
        <v>19063766.2796303</v>
      </c>
      <c r="N7" s="4"/>
    </row>
    <row r="8" customFormat="false" ht="15" hidden="false" customHeight="false" outlineLevel="0" collapsed="false">
      <c r="A8" s="0" t="s">
        <v>74</v>
      </c>
      <c r="B8" s="4" t="n">
        <f aca="false">'P&amp;L oylik'!B7</f>
        <v>-38832000</v>
      </c>
      <c r="C8" s="4" t="n">
        <f aca="false">B8+'P&amp;L oylik'!C7</f>
        <v>-74273340</v>
      </c>
      <c r="D8" s="4" t="n">
        <f aca="false">C8+'P&amp;L oylik'!D7</f>
        <v>-106167754.8</v>
      </c>
      <c r="E8" s="4" t="n">
        <f aca="false">D8+'P&amp;L oylik'!E7</f>
        <v>-134318448.906</v>
      </c>
      <c r="F8" s="4" t="n">
        <f aca="false">E8+'P&amp;L oylik'!F7</f>
        <v>-158481225.60132</v>
      </c>
      <c r="G8" s="4" t="n">
        <f aca="false">F8+'P&amp;L oylik'!G7</f>
        <v>-178356348.300155</v>
      </c>
      <c r="H8" s="4" t="n">
        <f aca="false">G8+'P&amp;L oylik'!H7</f>
        <v>-193578898.974057</v>
      </c>
      <c r="I8" s="4" t="n">
        <f aca="false">H8+'P&amp;L oylik'!I7</f>
        <v>-203707354.079378</v>
      </c>
      <c r="J8" s="4" t="n">
        <f aca="false">I8+'P&amp;L oylik'!J7</f>
        <v>-208210045.58256</v>
      </c>
      <c r="K8" s="4" t="n">
        <f aca="false">J8+'P&amp;L oylik'!K7</f>
        <v>-206449111.747289</v>
      </c>
      <c r="L8" s="4" t="n">
        <f aca="false">K8+'P&amp;L oylik'!L7</f>
        <v>-197661467.362277</v>
      </c>
      <c r="M8" s="4" t="n">
        <f aca="false">L8+'P&amp;L oylik'!M7</f>
        <v>-180936233.72037</v>
      </c>
      <c r="N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0" t="s">
        <v>76</v>
      </c>
      <c r="B2" s="4" t="str">
        <f aca="false">IFERROR(MATCH(TRUE(),INDEX('P&amp;L oylik'!B7:M7&gt;=0,0),0)&amp;"-oy","12 oy ichida yo'q")</f>
        <v>10-oy</v>
      </c>
    </row>
    <row r="3" customFormat="false" ht="15" hidden="false" customHeight="false" outlineLevel="0" collapsed="false">
      <c r="A3" s="0" t="s">
        <v>77</v>
      </c>
      <c r="B3" s="4" t="str">
        <f aca="false">IFERROR(MATCH(TRUE(),INDEX('Pul oqimi'!B8:M8&gt;=0,0),0)&amp;"-oy","12 oy ichida yo'q")</f>
        <v>12 oy ichida yo'q</v>
      </c>
    </row>
    <row r="4" customFormat="false" ht="15" hidden="false" customHeight="false" outlineLevel="0" collapsed="false">
      <c r="A4" s="0" t="s">
        <v>78</v>
      </c>
      <c r="B4" s="4" t="n">
        <f aca="false">MIN('Pul oqimi'!B7:M7)</f>
        <v>-8210045.5825597</v>
      </c>
    </row>
    <row r="5" customFormat="false" ht="15" hidden="false" customHeight="false" outlineLevel="0" collapsed="false">
      <c r="A5" s="0" t="s">
        <v>79</v>
      </c>
      <c r="B5" s="4" t="n">
        <f aca="false">Farazlar!$B$17+Farazlar!$B$18+Farazlar!$B$19+Farazlar!$B$20</f>
        <v>60000000</v>
      </c>
    </row>
    <row r="6" customFormat="false" ht="15" hidden="false" customHeight="false" outlineLevel="0" collapsed="false">
      <c r="A6" s="0" t="s">
        <v>80</v>
      </c>
      <c r="B6" s="5" t="n">
        <f aca="false">Farazlar!$B$21+Farazlar!$B$22</f>
        <v>0.055</v>
      </c>
    </row>
    <row r="7" customFormat="false" ht="15" hidden="false" customHeight="false" outlineLevel="0" collapsed="false">
      <c r="A7" s="0" t="s">
        <v>81</v>
      </c>
      <c r="B7" s="4" t="n">
        <f aca="false">B5/(1-B6)</f>
        <v>63492063.4920635</v>
      </c>
    </row>
    <row r="8" customFormat="false" ht="15" hidden="false" customHeight="false" outlineLevel="0" collapsed="false">
      <c r="A8" s="0" t="s">
        <v>82</v>
      </c>
      <c r="B8" s="4" t="n">
        <f aca="false">ROUNDUP(B5/(Farazlar!$B$13*(1-B6)),0)</f>
        <v>212</v>
      </c>
    </row>
    <row r="9" customFormat="false" ht="15" hidden="false" customHeight="false" outlineLevel="0" collapsed="false">
      <c r="A9" s="0" t="s">
        <v>83</v>
      </c>
      <c r="B9" s="4" t="n">
        <f aca="false">B5/(Farazlar!$B$5*(1-B6))</f>
        <v>634920634.920635</v>
      </c>
    </row>
    <row r="10" customFormat="false" ht="15" hidden="false" customHeight="false" outlineLevel="0" collapsed="false">
      <c r="A10" s="0" t="s">
        <v>84</v>
      </c>
      <c r="B10" s="4" t="n">
        <f aca="false">ROUNDUP(B5/(Farazlar!$B$8*Farazlar!$B$9*(1-B6)),0)</f>
        <v>424</v>
      </c>
    </row>
    <row r="11" customFormat="false" ht="15" hidden="false" customHeight="false" outlineLevel="0" collapsed="false">
      <c r="A11" s="0" t="s">
        <v>85</v>
      </c>
      <c r="B11" s="4" t="n">
        <f aca="false">Daromad!M10</f>
        <v>81190723.4305897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2026-10-27T19:29:37Z</dcterms:created>
  <dc:creator>openpyxl</dc:creator>
  <dc:description/>
  <dc:language>en-US</dc:language>
  <cp:lastModifiedBy/>
  <dcterms:modified xsi:type="dcterms:W3CDTF">2026-10-27T19:29:37Z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