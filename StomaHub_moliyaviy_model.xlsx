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azlar" sheetId="1" state="visible" r:id="rId1"/>
    <sheet xmlns:r="http://schemas.openxmlformats.org/officeDocument/2006/relationships" name="Daromad" sheetId="2" state="visible" r:id="rId2"/>
    <sheet xmlns:r="http://schemas.openxmlformats.org/officeDocument/2006/relationships" name="Xarajatlar" sheetId="3" state="visible" r:id="rId3"/>
    <sheet xmlns:r="http://schemas.openxmlformats.org/officeDocument/2006/relationships" name="P&amp;L oylik" sheetId="4" state="visible" r:id="rId4"/>
    <sheet xmlns:r="http://schemas.openxmlformats.org/officeDocument/2006/relationships" name="Pul oqimi" sheetId="5" state="visible" r:id="rId5"/>
    <sheet xmlns:r="http://schemas.openxmlformats.org/officeDocument/2006/relationships" name="Foyda nuqt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3" fontId="0" fillId="2" borderId="0" pivotButton="0" quotePrefix="0" xfId="0"/>
    <xf numFmtId="164" fontId="0" fillId="2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60" customWidth="1" min="3" max="3"/>
  </cols>
  <sheetData>
    <row r="1">
      <c r="A1" s="1" t="inlineStr">
        <is>
          <t>StomaHub moliyaviy modeli — FARAZLAR. DIQQAT: barcha qiymatlar TAXMINIY (namuna) ma'lumot, haqiqiy emas! Sariq kataklarni haqiqiy ma'lumot bilan to'ldiring.</t>
        </is>
      </c>
    </row>
    <row r="2">
      <c r="A2" t="inlineStr">
        <is>
          <t>Ko'rsatkich</t>
        </is>
      </c>
      <c r="B2" t="inlineStr">
        <is>
          <t>Qiymat</t>
        </is>
      </c>
      <c r="C2" t="inlineStr">
        <is>
          <t>Birlik</t>
        </is>
      </c>
      <c r="D2" t="inlineStr">
        <is>
          <t>Belgi</t>
        </is>
      </c>
    </row>
    <row r="3">
      <c r="A3" t="inlineStr">
        <is>
          <t>Marketplace: 1-oy savdo hajmi (GMV)</t>
        </is>
      </c>
      <c r="B3" s="2" t="n">
        <v>50000000</v>
      </c>
      <c r="C3" t="inlineStr">
        <is>
          <t>UZS/oy</t>
        </is>
      </c>
      <c r="D3" t="inlineStr">
        <is>
          <t>TAXMINIY</t>
        </is>
      </c>
    </row>
    <row r="4">
      <c r="A4" t="inlineStr">
        <is>
          <t>Marketplace: GMV oylik o'sishi</t>
        </is>
      </c>
      <c r="B4" s="3" t="n">
        <v>0.15</v>
      </c>
      <c r="C4" t="inlineStr">
        <is>
          <t>%</t>
        </is>
      </c>
      <c r="D4" t="inlineStr">
        <is>
          <t>TAXMINIY</t>
        </is>
      </c>
    </row>
    <row r="5">
      <c r="A5" t="inlineStr">
        <is>
          <t>Marketplace komissiyasi</t>
        </is>
      </c>
      <c r="B5" s="3" t="n">
        <v>0.1</v>
      </c>
      <c r="C5" t="inlineStr">
        <is>
          <t>%</t>
        </is>
      </c>
      <c r="D5" t="inlineStr">
        <is>
          <t>TAXMINIY</t>
        </is>
      </c>
    </row>
    <row r="6">
      <c r="A6" t="inlineStr">
        <is>
          <t>Seminarlar soni oyiga</t>
        </is>
      </c>
      <c r="B6" s="2" t="n">
        <v>2</v>
      </c>
      <c r="C6" t="inlineStr">
        <is>
          <t>dona</t>
        </is>
      </c>
      <c r="D6" t="inlineStr">
        <is>
          <t>TAXMINIY</t>
        </is>
      </c>
    </row>
    <row r="7">
      <c r="A7" t="inlineStr">
        <is>
          <t>Bir seminarga chiptalar</t>
        </is>
      </c>
      <c r="B7" s="2" t="n">
        <v>30</v>
      </c>
      <c r="C7" t="inlineStr">
        <is>
          <t>dona</t>
        </is>
      </c>
      <c r="D7" t="inlineStr">
        <is>
          <t>TAXMINIY</t>
        </is>
      </c>
    </row>
    <row r="8">
      <c r="A8" t="inlineStr">
        <is>
          <t>Chipta narxi</t>
        </is>
      </c>
      <c r="B8" s="2" t="n">
        <v>500000</v>
      </c>
      <c r="C8" t="inlineStr">
        <is>
          <t>UZS</t>
        </is>
      </c>
      <c r="D8" t="inlineStr">
        <is>
          <t>TAXMINIY</t>
        </is>
      </c>
    </row>
    <row r="9">
      <c r="A9" t="inlineStr">
        <is>
          <t>Platforma ulushi chiptadan</t>
        </is>
      </c>
      <c r="B9" s="3" t="n">
        <v>0.3</v>
      </c>
      <c r="C9" t="inlineStr">
        <is>
          <t>%</t>
        </is>
      </c>
      <c r="D9" t="inlineStr">
        <is>
          <t>TAXMINIY</t>
        </is>
      </c>
    </row>
    <row r="10">
      <c r="A10" t="inlineStr">
        <is>
          <t>CRM: boshlang'ich klinikalar</t>
        </is>
      </c>
      <c r="B10" s="2" t="n">
        <v>10</v>
      </c>
      <c r="C10" t="inlineStr">
        <is>
          <t>dona</t>
        </is>
      </c>
      <c r="D10" t="inlineStr">
        <is>
          <t>TAXMINIY</t>
        </is>
      </c>
    </row>
    <row r="11">
      <c r="A11" t="inlineStr">
        <is>
          <t>CRM: oyiga yangi klinikalar</t>
        </is>
      </c>
      <c r="B11" s="2" t="n">
        <v>8</v>
      </c>
      <c r="C11" t="inlineStr">
        <is>
          <t>dona</t>
        </is>
      </c>
      <c r="D11" t="inlineStr">
        <is>
          <t>TAXMINIY</t>
        </is>
      </c>
    </row>
    <row r="12">
      <c r="A12" t="inlineStr">
        <is>
          <t>CRM: oylik churn</t>
        </is>
      </c>
      <c r="B12" s="3" t="n">
        <v>0.03</v>
      </c>
      <c r="C12" t="inlineStr">
        <is>
          <t>%</t>
        </is>
      </c>
      <c r="D12" t="inlineStr">
        <is>
          <t>TAXMINIY</t>
        </is>
      </c>
    </row>
    <row r="13">
      <c r="A13" t="inlineStr">
        <is>
          <t>CRM obuna narxi</t>
        </is>
      </c>
      <c r="B13" s="2" t="n">
        <v>300000</v>
      </c>
      <c r="C13" t="inlineStr">
        <is>
          <t>UZS/oy</t>
        </is>
      </c>
      <c r="D13" t="inlineStr">
        <is>
          <t>TAXMINIY</t>
        </is>
      </c>
    </row>
    <row r="14">
      <c r="A14" t="inlineStr">
        <is>
          <t>Ilova: 1-oy premium foydalanuvchilar</t>
        </is>
      </c>
      <c r="B14" s="2" t="n">
        <v>100</v>
      </c>
      <c r="C14" t="inlineStr">
        <is>
          <t>dona</t>
        </is>
      </c>
      <c r="D14" t="inlineStr">
        <is>
          <t>TAXMINIY</t>
        </is>
      </c>
    </row>
    <row r="15">
      <c r="A15" t="inlineStr">
        <is>
          <t>Ilova: foydalanuvchilar oylik o'sishi</t>
        </is>
      </c>
      <c r="B15" s="3" t="n">
        <v>0.2</v>
      </c>
      <c r="C15" t="inlineStr">
        <is>
          <t>%</t>
        </is>
      </c>
      <c r="D15" t="inlineStr">
        <is>
          <t>TAXMINIY</t>
        </is>
      </c>
    </row>
    <row r="16">
      <c r="A16" t="inlineStr">
        <is>
          <t>Ilova premium obuna narxi</t>
        </is>
      </c>
      <c r="B16" s="2" t="n">
        <v>30000</v>
      </c>
      <c r="C16" t="inlineStr">
        <is>
          <t>UZS/oy</t>
        </is>
      </c>
      <c r="D16" t="inlineStr">
        <is>
          <t>TAXMINIY</t>
        </is>
      </c>
    </row>
    <row r="17">
      <c r="A17" t="inlineStr">
        <is>
          <t>Jamoa (ish haqi) xarajati</t>
        </is>
      </c>
      <c r="B17" s="2" t="n">
        <v>40000000</v>
      </c>
      <c r="C17" t="inlineStr">
        <is>
          <t>UZS/oy</t>
        </is>
      </c>
      <c r="D17" t="inlineStr">
        <is>
          <t>TAXMINIY</t>
        </is>
      </c>
    </row>
    <row r="18">
      <c r="A18" t="inlineStr">
        <is>
          <t>Reklama xarajati</t>
        </is>
      </c>
      <c r="B18" s="2" t="n">
        <v>15000000</v>
      </c>
      <c r="C18" t="inlineStr">
        <is>
          <t>UZS/oy</t>
        </is>
      </c>
      <c r="D18" t="inlineStr">
        <is>
          <t>TAXMINIY</t>
        </is>
      </c>
    </row>
    <row r="19">
      <c r="A19" t="inlineStr">
        <is>
          <t>Hosting/serverlar</t>
        </is>
      </c>
      <c r="B19" s="2" t="n">
        <v>3000000</v>
      </c>
      <c r="C19" t="inlineStr">
        <is>
          <t>UZS/oy</t>
        </is>
      </c>
      <c r="D19" t="inlineStr">
        <is>
          <t>TAXMINIY</t>
        </is>
      </c>
    </row>
    <row r="20">
      <c r="A20" t="inlineStr">
        <is>
          <t>Boshqa doimiy xarajatlar</t>
        </is>
      </c>
      <c r="B20" s="2" t="n">
        <v>2000000</v>
      </c>
      <c r="C20" t="inlineStr">
        <is>
          <t>UZS/oy</t>
        </is>
      </c>
      <c r="D20" t="inlineStr">
        <is>
          <t>TAXMINIY</t>
        </is>
      </c>
    </row>
    <row r="21">
      <c r="A21" t="inlineStr">
        <is>
          <t>To'lov tizimi komissiyasi (Payme/Click/Uzum)</t>
        </is>
      </c>
      <c r="B21" s="3" t="n">
        <v>0.015</v>
      </c>
      <c r="C21" t="inlineStr">
        <is>
          <t>% daromaddan</t>
        </is>
      </c>
      <c r="D21" t="inlineStr">
        <is>
          <t>TAXMINIY</t>
        </is>
      </c>
    </row>
    <row r="22">
      <c r="A22" t="inlineStr">
        <is>
          <t>Aylanmadan olinadigan soliq stavkasi</t>
        </is>
      </c>
      <c r="B22" s="3" t="n">
        <v>0.04</v>
      </c>
      <c r="C22" t="inlineStr">
        <is>
          <t>% daromaddan — joriy stavkani tekshiring! IT-Park rezidentligi imtiyozli rejim berishi mumkin</t>
        </is>
      </c>
      <c r="D22" t="inlineStr">
        <is>
          <t>TAXMINIY</t>
        </is>
      </c>
    </row>
    <row r="23">
      <c r="A23" t="inlineStr">
        <is>
          <t>Boshlang'ich kapital (investitsiya)</t>
        </is>
      </c>
      <c r="B23" s="2" t="n">
        <v>200000000</v>
      </c>
      <c r="C23" t="inlineStr">
        <is>
          <t>UZS</t>
        </is>
      </c>
      <c r="D23" t="inlineStr">
        <is>
          <t>TAXMINIY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Daromad (TAXMINIY namuna ma'lumotlar asosida)</t>
        </is>
      </c>
    </row>
    <row r="2">
      <c r="A2" t="inlineStr">
        <is>
          <t>Ko'rsatkich</t>
        </is>
      </c>
      <c r="B2" t="inlineStr">
        <is>
          <t>1-oy</t>
        </is>
      </c>
      <c r="C2" t="inlineStr">
        <is>
          <t>2-oy</t>
        </is>
      </c>
      <c r="D2" t="inlineStr">
        <is>
          <t>3-oy</t>
        </is>
      </c>
      <c r="E2" t="inlineStr">
        <is>
          <t>4-oy</t>
        </is>
      </c>
      <c r="F2" t="inlineStr">
        <is>
          <t>5-oy</t>
        </is>
      </c>
      <c r="G2" t="inlineStr">
        <is>
          <t>6-oy</t>
        </is>
      </c>
      <c r="H2" t="inlineStr">
        <is>
          <t>7-oy</t>
        </is>
      </c>
      <c r="I2" t="inlineStr">
        <is>
          <t>8-oy</t>
        </is>
      </c>
      <c r="J2" t="inlineStr">
        <is>
          <t>9-oy</t>
        </is>
      </c>
      <c r="K2" t="inlineStr">
        <is>
          <t>10-oy</t>
        </is>
      </c>
      <c r="L2" t="inlineStr">
        <is>
          <t>11-oy</t>
        </is>
      </c>
      <c r="M2" t="inlineStr">
        <is>
          <t>12-oy</t>
        </is>
      </c>
      <c r="N2" t="inlineStr">
        <is>
          <t>Jami</t>
        </is>
      </c>
    </row>
    <row r="3">
      <c r="A3" t="inlineStr">
        <is>
          <t>Marketplace GMV</t>
        </is>
      </c>
      <c r="B3" s="4">
        <f>Farazlar!$B$3</f>
        <v/>
      </c>
      <c r="C3" s="4">
        <f>B3*(1+Farazlar!$B$4)</f>
        <v/>
      </c>
      <c r="D3" s="4">
        <f>C3*(1+Farazlar!$B$4)</f>
        <v/>
      </c>
      <c r="E3" s="4">
        <f>D3*(1+Farazlar!$B$4)</f>
        <v/>
      </c>
      <c r="F3" s="4">
        <f>E3*(1+Farazlar!$B$4)</f>
        <v/>
      </c>
      <c r="G3" s="4">
        <f>F3*(1+Farazlar!$B$4)</f>
        <v/>
      </c>
      <c r="H3" s="4">
        <f>G3*(1+Farazlar!$B$4)</f>
        <v/>
      </c>
      <c r="I3" s="4">
        <f>H3*(1+Farazlar!$B$4)</f>
        <v/>
      </c>
      <c r="J3" s="4">
        <f>I3*(1+Farazlar!$B$4)</f>
        <v/>
      </c>
      <c r="K3" s="4">
        <f>J3*(1+Farazlar!$B$4)</f>
        <v/>
      </c>
      <c r="L3" s="4">
        <f>K3*(1+Farazlar!$B$4)</f>
        <v/>
      </c>
      <c r="M3" s="4">
        <f>L3*(1+Farazlar!$B$4)</f>
        <v/>
      </c>
      <c r="N3" s="4" t="n"/>
    </row>
    <row r="4">
      <c r="A4" t="inlineStr">
        <is>
          <t>Marketplace komissiya daromadi</t>
        </is>
      </c>
      <c r="B4" s="4">
        <f>B3*Farazlar!$B$5</f>
        <v/>
      </c>
      <c r="C4" s="4">
        <f>C3*Farazlar!$B$5</f>
        <v/>
      </c>
      <c r="D4" s="4">
        <f>D3*Farazlar!$B$5</f>
        <v/>
      </c>
      <c r="E4" s="4">
        <f>E3*Farazlar!$B$5</f>
        <v/>
      </c>
      <c r="F4" s="4">
        <f>F3*Farazlar!$B$5</f>
        <v/>
      </c>
      <c r="G4" s="4">
        <f>G3*Farazlar!$B$5</f>
        <v/>
      </c>
      <c r="H4" s="4">
        <f>H3*Farazlar!$B$5</f>
        <v/>
      </c>
      <c r="I4" s="4">
        <f>I3*Farazlar!$B$5</f>
        <v/>
      </c>
      <c r="J4" s="4">
        <f>J3*Farazlar!$B$5</f>
        <v/>
      </c>
      <c r="K4" s="4">
        <f>K3*Farazlar!$B$5</f>
        <v/>
      </c>
      <c r="L4" s="4">
        <f>L3*Farazlar!$B$5</f>
        <v/>
      </c>
      <c r="M4" s="4">
        <f>M3*Farazlar!$B$5</f>
        <v/>
      </c>
      <c r="N4" s="4">
        <f>SUM(B4:M4)</f>
        <v/>
      </c>
    </row>
    <row r="5">
      <c r="A5" t="inlineStr">
        <is>
          <t>Ta'lim/seminar daromadi</t>
        </is>
      </c>
      <c r="B5" s="4">
        <f>Farazlar!$B$6*Farazlar!$B$7*Farazlar!$B$8*Farazlar!$B$9</f>
        <v/>
      </c>
      <c r="C5" s="4">
        <f>Farazlar!$B$6*Farazlar!$B$7*Farazlar!$B$8*Farazlar!$B$9</f>
        <v/>
      </c>
      <c r="D5" s="4">
        <f>Farazlar!$B$6*Farazlar!$B$7*Farazlar!$B$8*Farazlar!$B$9</f>
        <v/>
      </c>
      <c r="E5" s="4">
        <f>Farazlar!$B$6*Farazlar!$B$7*Farazlar!$B$8*Farazlar!$B$9</f>
        <v/>
      </c>
      <c r="F5" s="4">
        <f>Farazlar!$B$6*Farazlar!$B$7*Farazlar!$B$8*Farazlar!$B$9</f>
        <v/>
      </c>
      <c r="G5" s="4">
        <f>Farazlar!$B$6*Farazlar!$B$7*Farazlar!$B$8*Farazlar!$B$9</f>
        <v/>
      </c>
      <c r="H5" s="4">
        <f>Farazlar!$B$6*Farazlar!$B$7*Farazlar!$B$8*Farazlar!$B$9</f>
        <v/>
      </c>
      <c r="I5" s="4">
        <f>Farazlar!$B$6*Farazlar!$B$7*Farazlar!$B$8*Farazlar!$B$9</f>
        <v/>
      </c>
      <c r="J5" s="4">
        <f>Farazlar!$B$6*Farazlar!$B$7*Farazlar!$B$8*Farazlar!$B$9</f>
        <v/>
      </c>
      <c r="K5" s="4">
        <f>Farazlar!$B$6*Farazlar!$B$7*Farazlar!$B$8*Farazlar!$B$9</f>
        <v/>
      </c>
      <c r="L5" s="4">
        <f>Farazlar!$B$6*Farazlar!$B$7*Farazlar!$B$8*Farazlar!$B$9</f>
        <v/>
      </c>
      <c r="M5" s="4">
        <f>Farazlar!$B$6*Farazlar!$B$7*Farazlar!$B$8*Farazlar!$B$9</f>
        <v/>
      </c>
      <c r="N5" s="4">
        <f>SUM(B5:M5)</f>
        <v/>
      </c>
    </row>
    <row r="6">
      <c r="A6" t="inlineStr">
        <is>
          <t>CRM faol klinikalar</t>
        </is>
      </c>
      <c r="B6" s="4">
        <f>Farazlar!$B$10+Farazlar!$B$11</f>
        <v/>
      </c>
      <c r="C6" s="4">
        <f>B6*(1-Farazlar!$B$12)+Farazlar!$B$11</f>
        <v/>
      </c>
      <c r="D6" s="4">
        <f>C6*(1-Farazlar!$B$12)+Farazlar!$B$11</f>
        <v/>
      </c>
      <c r="E6" s="4">
        <f>D6*(1-Farazlar!$B$12)+Farazlar!$B$11</f>
        <v/>
      </c>
      <c r="F6" s="4">
        <f>E6*(1-Farazlar!$B$12)+Farazlar!$B$11</f>
        <v/>
      </c>
      <c r="G6" s="4">
        <f>F6*(1-Farazlar!$B$12)+Farazlar!$B$11</f>
        <v/>
      </c>
      <c r="H6" s="4">
        <f>G6*(1-Farazlar!$B$12)+Farazlar!$B$11</f>
        <v/>
      </c>
      <c r="I6" s="4">
        <f>H6*(1-Farazlar!$B$12)+Farazlar!$B$11</f>
        <v/>
      </c>
      <c r="J6" s="4">
        <f>I6*(1-Farazlar!$B$12)+Farazlar!$B$11</f>
        <v/>
      </c>
      <c r="K6" s="4">
        <f>J6*(1-Farazlar!$B$12)+Farazlar!$B$11</f>
        <v/>
      </c>
      <c r="L6" s="4">
        <f>K6*(1-Farazlar!$B$12)+Farazlar!$B$11</f>
        <v/>
      </c>
      <c r="M6" s="4">
        <f>L6*(1-Farazlar!$B$12)+Farazlar!$B$11</f>
        <v/>
      </c>
      <c r="N6" s="4" t="n"/>
    </row>
    <row r="7">
      <c r="A7" t="inlineStr">
        <is>
          <t>CRM obuna daromadi</t>
        </is>
      </c>
      <c r="B7" s="4">
        <f>B6*Farazlar!$B$13</f>
        <v/>
      </c>
      <c r="C7" s="4">
        <f>C6*Farazlar!$B$13</f>
        <v/>
      </c>
      <c r="D7" s="4">
        <f>D6*Farazlar!$B$13</f>
        <v/>
      </c>
      <c r="E7" s="4">
        <f>E6*Farazlar!$B$13</f>
        <v/>
      </c>
      <c r="F7" s="4">
        <f>F6*Farazlar!$B$13</f>
        <v/>
      </c>
      <c r="G7" s="4">
        <f>G6*Farazlar!$B$13</f>
        <v/>
      </c>
      <c r="H7" s="4">
        <f>H6*Farazlar!$B$13</f>
        <v/>
      </c>
      <c r="I7" s="4">
        <f>I6*Farazlar!$B$13</f>
        <v/>
      </c>
      <c r="J7" s="4">
        <f>J6*Farazlar!$B$13</f>
        <v/>
      </c>
      <c r="K7" s="4">
        <f>K6*Farazlar!$B$13</f>
        <v/>
      </c>
      <c r="L7" s="4">
        <f>L6*Farazlar!$B$13</f>
        <v/>
      </c>
      <c r="M7" s="4">
        <f>M6*Farazlar!$B$13</f>
        <v/>
      </c>
      <c r="N7" s="4">
        <f>SUM(B7:M7)</f>
        <v/>
      </c>
    </row>
    <row r="8">
      <c r="A8" t="inlineStr">
        <is>
          <t>Ilova premium foydalanuvchilar</t>
        </is>
      </c>
      <c r="B8" s="4">
        <f>Farazlar!$B$14</f>
        <v/>
      </c>
      <c r="C8" s="4">
        <f>B8*(1+Farazlar!$B$15)</f>
        <v/>
      </c>
      <c r="D8" s="4">
        <f>C8*(1+Farazlar!$B$15)</f>
        <v/>
      </c>
      <c r="E8" s="4">
        <f>D8*(1+Farazlar!$B$15)</f>
        <v/>
      </c>
      <c r="F8" s="4">
        <f>E8*(1+Farazlar!$B$15)</f>
        <v/>
      </c>
      <c r="G8" s="4">
        <f>F8*(1+Farazlar!$B$15)</f>
        <v/>
      </c>
      <c r="H8" s="4">
        <f>G8*(1+Farazlar!$B$15)</f>
        <v/>
      </c>
      <c r="I8" s="4">
        <f>H8*(1+Farazlar!$B$15)</f>
        <v/>
      </c>
      <c r="J8" s="4">
        <f>I8*(1+Farazlar!$B$15)</f>
        <v/>
      </c>
      <c r="K8" s="4">
        <f>J8*(1+Farazlar!$B$15)</f>
        <v/>
      </c>
      <c r="L8" s="4">
        <f>K8*(1+Farazlar!$B$15)</f>
        <v/>
      </c>
      <c r="M8" s="4">
        <f>L8*(1+Farazlar!$B$15)</f>
        <v/>
      </c>
      <c r="N8" s="4" t="n"/>
    </row>
    <row r="9">
      <c r="A9" t="inlineStr">
        <is>
          <t>Mobil ilova daromadi</t>
        </is>
      </c>
      <c r="B9" s="4">
        <f>B8*Farazlar!$B$16</f>
        <v/>
      </c>
      <c r="C9" s="4">
        <f>C8*Farazlar!$B$16</f>
        <v/>
      </c>
      <c r="D9" s="4">
        <f>D8*Farazlar!$B$16</f>
        <v/>
      </c>
      <c r="E9" s="4">
        <f>E8*Farazlar!$B$16</f>
        <v/>
      </c>
      <c r="F9" s="4">
        <f>F8*Farazlar!$B$16</f>
        <v/>
      </c>
      <c r="G9" s="4">
        <f>G8*Farazlar!$B$16</f>
        <v/>
      </c>
      <c r="H9" s="4">
        <f>H8*Farazlar!$B$16</f>
        <v/>
      </c>
      <c r="I9" s="4">
        <f>I8*Farazlar!$B$16</f>
        <v/>
      </c>
      <c r="J9" s="4">
        <f>J8*Farazlar!$B$16</f>
        <v/>
      </c>
      <c r="K9" s="4">
        <f>K8*Farazlar!$B$16</f>
        <v/>
      </c>
      <c r="L9" s="4">
        <f>L8*Farazlar!$B$16</f>
        <v/>
      </c>
      <c r="M9" s="4">
        <f>M8*Farazlar!$B$16</f>
        <v/>
      </c>
      <c r="N9" s="4">
        <f>SUM(B9:M9)</f>
        <v/>
      </c>
    </row>
    <row r="10">
      <c r="A10" t="inlineStr">
        <is>
          <t>JAMI DAROMAD</t>
        </is>
      </c>
      <c r="B10" s="4">
        <f>B4+B5+B7+B9</f>
        <v/>
      </c>
      <c r="C10" s="4">
        <f>C4+C5+C7+C9</f>
        <v/>
      </c>
      <c r="D10" s="4">
        <f>D4+D5+D7+D9</f>
        <v/>
      </c>
      <c r="E10" s="4">
        <f>E4+E5+E7+E9</f>
        <v/>
      </c>
      <c r="F10" s="4">
        <f>F4+F5+F7+F9</f>
        <v/>
      </c>
      <c r="G10" s="4">
        <f>G4+G5+G7+G9</f>
        <v/>
      </c>
      <c r="H10" s="4">
        <f>H4+H5+H7+H9</f>
        <v/>
      </c>
      <c r="I10" s="4">
        <f>I4+I5+I7+I9</f>
        <v/>
      </c>
      <c r="J10" s="4">
        <f>J4+J5+J7+J9</f>
        <v/>
      </c>
      <c r="K10" s="4">
        <f>K4+K5+K7+K9</f>
        <v/>
      </c>
      <c r="L10" s="4">
        <f>L4+L5+L7+L9</f>
        <v/>
      </c>
      <c r="M10" s="4">
        <f>M4+M5+M7+M9</f>
        <v/>
      </c>
      <c r="N10" s="4">
        <f>SUM(B10:M10)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Xarajatlar (TAXMINIY namuna ma'lumotlar asosida)</t>
        </is>
      </c>
    </row>
    <row r="2">
      <c r="A2" t="inlineStr">
        <is>
          <t>Ko'rsatkich</t>
        </is>
      </c>
      <c r="B2" t="inlineStr">
        <is>
          <t>1-oy</t>
        </is>
      </c>
      <c r="C2" t="inlineStr">
        <is>
          <t>2-oy</t>
        </is>
      </c>
      <c r="D2" t="inlineStr">
        <is>
          <t>3-oy</t>
        </is>
      </c>
      <c r="E2" t="inlineStr">
        <is>
          <t>4-oy</t>
        </is>
      </c>
      <c r="F2" t="inlineStr">
        <is>
          <t>5-oy</t>
        </is>
      </c>
      <c r="G2" t="inlineStr">
        <is>
          <t>6-oy</t>
        </is>
      </c>
      <c r="H2" t="inlineStr">
        <is>
          <t>7-oy</t>
        </is>
      </c>
      <c r="I2" t="inlineStr">
        <is>
          <t>8-oy</t>
        </is>
      </c>
      <c r="J2" t="inlineStr">
        <is>
          <t>9-oy</t>
        </is>
      </c>
      <c r="K2" t="inlineStr">
        <is>
          <t>10-oy</t>
        </is>
      </c>
      <c r="L2" t="inlineStr">
        <is>
          <t>11-oy</t>
        </is>
      </c>
      <c r="M2" t="inlineStr">
        <is>
          <t>12-oy</t>
        </is>
      </c>
      <c r="N2" t="inlineStr">
        <is>
          <t>Jami</t>
        </is>
      </c>
    </row>
    <row r="3">
      <c r="A3" t="inlineStr">
        <is>
          <t>Jamoa</t>
        </is>
      </c>
      <c r="B3" s="4">
        <f>Farazlar!$B$17</f>
        <v/>
      </c>
      <c r="C3" s="4">
        <f>Farazlar!$B$17</f>
        <v/>
      </c>
      <c r="D3" s="4">
        <f>Farazlar!$B$17</f>
        <v/>
      </c>
      <c r="E3" s="4">
        <f>Farazlar!$B$17</f>
        <v/>
      </c>
      <c r="F3" s="4">
        <f>Farazlar!$B$17</f>
        <v/>
      </c>
      <c r="G3" s="4">
        <f>Farazlar!$B$17</f>
        <v/>
      </c>
      <c r="H3" s="4">
        <f>Farazlar!$B$17</f>
        <v/>
      </c>
      <c r="I3" s="4">
        <f>Farazlar!$B$17</f>
        <v/>
      </c>
      <c r="J3" s="4">
        <f>Farazlar!$B$17</f>
        <v/>
      </c>
      <c r="K3" s="4">
        <f>Farazlar!$B$17</f>
        <v/>
      </c>
      <c r="L3" s="4">
        <f>Farazlar!$B$17</f>
        <v/>
      </c>
      <c r="M3" s="4">
        <f>Farazlar!$B$17</f>
        <v/>
      </c>
      <c r="N3" s="4">
        <f>SUM(B3:M3)</f>
        <v/>
      </c>
    </row>
    <row r="4">
      <c r="A4" t="inlineStr">
        <is>
          <t>Reklama</t>
        </is>
      </c>
      <c r="B4" s="4">
        <f>Farazlar!$B$18</f>
        <v/>
      </c>
      <c r="C4" s="4">
        <f>Farazlar!$B$18</f>
        <v/>
      </c>
      <c r="D4" s="4">
        <f>Farazlar!$B$18</f>
        <v/>
      </c>
      <c r="E4" s="4">
        <f>Farazlar!$B$18</f>
        <v/>
      </c>
      <c r="F4" s="4">
        <f>Farazlar!$B$18</f>
        <v/>
      </c>
      <c r="G4" s="4">
        <f>Farazlar!$B$18</f>
        <v/>
      </c>
      <c r="H4" s="4">
        <f>Farazlar!$B$18</f>
        <v/>
      </c>
      <c r="I4" s="4">
        <f>Farazlar!$B$18</f>
        <v/>
      </c>
      <c r="J4" s="4">
        <f>Farazlar!$B$18</f>
        <v/>
      </c>
      <c r="K4" s="4">
        <f>Farazlar!$B$18</f>
        <v/>
      </c>
      <c r="L4" s="4">
        <f>Farazlar!$B$18</f>
        <v/>
      </c>
      <c r="M4" s="4">
        <f>Farazlar!$B$18</f>
        <v/>
      </c>
      <c r="N4" s="4">
        <f>SUM(B4:M4)</f>
        <v/>
      </c>
    </row>
    <row r="5">
      <c r="A5" t="inlineStr">
        <is>
          <t>Hosting/serverlar</t>
        </is>
      </c>
      <c r="B5" s="4">
        <f>Farazlar!$B$19</f>
        <v/>
      </c>
      <c r="C5" s="4">
        <f>Farazlar!$B$19</f>
        <v/>
      </c>
      <c r="D5" s="4">
        <f>Farazlar!$B$19</f>
        <v/>
      </c>
      <c r="E5" s="4">
        <f>Farazlar!$B$19</f>
        <v/>
      </c>
      <c r="F5" s="4">
        <f>Farazlar!$B$19</f>
        <v/>
      </c>
      <c r="G5" s="4">
        <f>Farazlar!$B$19</f>
        <v/>
      </c>
      <c r="H5" s="4">
        <f>Farazlar!$B$19</f>
        <v/>
      </c>
      <c r="I5" s="4">
        <f>Farazlar!$B$19</f>
        <v/>
      </c>
      <c r="J5" s="4">
        <f>Farazlar!$B$19</f>
        <v/>
      </c>
      <c r="K5" s="4">
        <f>Farazlar!$B$19</f>
        <v/>
      </c>
      <c r="L5" s="4">
        <f>Farazlar!$B$19</f>
        <v/>
      </c>
      <c r="M5" s="4">
        <f>Farazlar!$B$19</f>
        <v/>
      </c>
      <c r="N5" s="4">
        <f>SUM(B5:M5)</f>
        <v/>
      </c>
    </row>
    <row r="6">
      <c r="A6" t="inlineStr">
        <is>
          <t>Boshqa doimiy</t>
        </is>
      </c>
      <c r="B6" s="4">
        <f>Farazlar!$B$20</f>
        <v/>
      </c>
      <c r="C6" s="4">
        <f>Farazlar!$B$20</f>
        <v/>
      </c>
      <c r="D6" s="4">
        <f>Farazlar!$B$20</f>
        <v/>
      </c>
      <c r="E6" s="4">
        <f>Farazlar!$B$20</f>
        <v/>
      </c>
      <c r="F6" s="4">
        <f>Farazlar!$B$20</f>
        <v/>
      </c>
      <c r="G6" s="4">
        <f>Farazlar!$B$20</f>
        <v/>
      </c>
      <c r="H6" s="4">
        <f>Farazlar!$B$20</f>
        <v/>
      </c>
      <c r="I6" s="4">
        <f>Farazlar!$B$20</f>
        <v/>
      </c>
      <c r="J6" s="4">
        <f>Farazlar!$B$20</f>
        <v/>
      </c>
      <c r="K6" s="4">
        <f>Farazlar!$B$20</f>
        <v/>
      </c>
      <c r="L6" s="4">
        <f>Farazlar!$B$20</f>
        <v/>
      </c>
      <c r="M6" s="4">
        <f>Farazlar!$B$20</f>
        <v/>
      </c>
      <c r="N6" s="4">
        <f>SUM(B6:M6)</f>
        <v/>
      </c>
    </row>
    <row r="7">
      <c r="A7" t="inlineStr">
        <is>
          <t>To'lov komissiyalari (Payme/Click/Uzum)</t>
        </is>
      </c>
      <c r="B7" s="4">
        <f>Daromad!B10*Farazlar!$B$21</f>
        <v/>
      </c>
      <c r="C7" s="4">
        <f>Daromad!C10*Farazlar!$B$21</f>
        <v/>
      </c>
      <c r="D7" s="4">
        <f>Daromad!D10*Farazlar!$B$21</f>
        <v/>
      </c>
      <c r="E7" s="4">
        <f>Daromad!E10*Farazlar!$B$21</f>
        <v/>
      </c>
      <c r="F7" s="4">
        <f>Daromad!F10*Farazlar!$B$21</f>
        <v/>
      </c>
      <c r="G7" s="4">
        <f>Daromad!G10*Farazlar!$B$21</f>
        <v/>
      </c>
      <c r="H7" s="4">
        <f>Daromad!H10*Farazlar!$B$21</f>
        <v/>
      </c>
      <c r="I7" s="4">
        <f>Daromad!I10*Farazlar!$B$21</f>
        <v/>
      </c>
      <c r="J7" s="4">
        <f>Daromad!J10*Farazlar!$B$21</f>
        <v/>
      </c>
      <c r="K7" s="4">
        <f>Daromad!K10*Farazlar!$B$21</f>
        <v/>
      </c>
      <c r="L7" s="4">
        <f>Daromad!L10*Farazlar!$B$21</f>
        <v/>
      </c>
      <c r="M7" s="4">
        <f>Daromad!M10*Farazlar!$B$21</f>
        <v/>
      </c>
      <c r="N7" s="4">
        <f>SUM(B7:M7)</f>
        <v/>
      </c>
    </row>
    <row r="8">
      <c r="A8" t="inlineStr">
        <is>
          <t>Aylanma soliq (stavkani tekshiring; IT-Park varianti)</t>
        </is>
      </c>
      <c r="B8" s="4">
        <f>Daromad!B10*Farazlar!$B$22</f>
        <v/>
      </c>
      <c r="C8" s="4">
        <f>Daromad!C10*Farazlar!$B$22</f>
        <v/>
      </c>
      <c r="D8" s="4">
        <f>Daromad!D10*Farazlar!$B$22</f>
        <v/>
      </c>
      <c r="E8" s="4">
        <f>Daromad!E10*Farazlar!$B$22</f>
        <v/>
      </c>
      <c r="F8" s="4">
        <f>Daromad!F10*Farazlar!$B$22</f>
        <v/>
      </c>
      <c r="G8" s="4">
        <f>Daromad!G10*Farazlar!$B$22</f>
        <v/>
      </c>
      <c r="H8" s="4">
        <f>Daromad!H10*Farazlar!$B$22</f>
        <v/>
      </c>
      <c r="I8" s="4">
        <f>Daromad!I10*Farazlar!$B$22</f>
        <v/>
      </c>
      <c r="J8" s="4">
        <f>Daromad!J10*Farazlar!$B$22</f>
        <v/>
      </c>
      <c r="K8" s="4">
        <f>Daromad!K10*Farazlar!$B$22</f>
        <v/>
      </c>
      <c r="L8" s="4">
        <f>Daromad!L10*Farazlar!$B$22</f>
        <v/>
      </c>
      <c r="M8" s="4">
        <f>Daromad!M10*Farazlar!$B$22</f>
        <v/>
      </c>
      <c r="N8" s="4">
        <f>SUM(B8:M8)</f>
        <v/>
      </c>
    </row>
    <row r="9">
      <c r="A9" t="inlineStr">
        <is>
          <t>JAMI XARAJAT</t>
        </is>
      </c>
      <c r="B9" s="4">
        <f>SUM(B3:B8)</f>
        <v/>
      </c>
      <c r="C9" s="4">
        <f>SUM(C3:C8)</f>
        <v/>
      </c>
      <c r="D9" s="4">
        <f>SUM(D3:D8)</f>
        <v/>
      </c>
      <c r="E9" s="4">
        <f>SUM(E3:E8)</f>
        <v/>
      </c>
      <c r="F9" s="4">
        <f>SUM(F3:F8)</f>
        <v/>
      </c>
      <c r="G9" s="4">
        <f>SUM(G3:G8)</f>
        <v/>
      </c>
      <c r="H9" s="4">
        <f>SUM(H3:H8)</f>
        <v/>
      </c>
      <c r="I9" s="4">
        <f>SUM(I3:I8)</f>
        <v/>
      </c>
      <c r="J9" s="4">
        <f>SUM(J3:J8)</f>
        <v/>
      </c>
      <c r="K9" s="4">
        <f>SUM(K3:K8)</f>
        <v/>
      </c>
      <c r="L9" s="4">
        <f>SUM(L3:L8)</f>
        <v/>
      </c>
      <c r="M9" s="4">
        <f>SUM(M3:M8)</f>
        <v/>
      </c>
      <c r="N9" s="4">
        <f>SUM(B9:M9)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P&amp;L oylik (TAXMINIY namuna ma'lumotlar asosida)</t>
        </is>
      </c>
    </row>
    <row r="2">
      <c r="A2" t="inlineStr">
        <is>
          <t>Ko'rsatkich</t>
        </is>
      </c>
      <c r="B2" t="inlineStr">
        <is>
          <t>1-oy</t>
        </is>
      </c>
      <c r="C2" t="inlineStr">
        <is>
          <t>2-oy</t>
        </is>
      </c>
      <c r="D2" t="inlineStr">
        <is>
          <t>3-oy</t>
        </is>
      </c>
      <c r="E2" t="inlineStr">
        <is>
          <t>4-oy</t>
        </is>
      </c>
      <c r="F2" t="inlineStr">
        <is>
          <t>5-oy</t>
        </is>
      </c>
      <c r="G2" t="inlineStr">
        <is>
          <t>6-oy</t>
        </is>
      </c>
      <c r="H2" t="inlineStr">
        <is>
          <t>7-oy</t>
        </is>
      </c>
      <c r="I2" t="inlineStr">
        <is>
          <t>8-oy</t>
        </is>
      </c>
      <c r="J2" t="inlineStr">
        <is>
          <t>9-oy</t>
        </is>
      </c>
      <c r="K2" t="inlineStr">
        <is>
          <t>10-oy</t>
        </is>
      </c>
      <c r="L2" t="inlineStr">
        <is>
          <t>11-oy</t>
        </is>
      </c>
      <c r="M2" t="inlineStr">
        <is>
          <t>12-oy</t>
        </is>
      </c>
      <c r="N2" t="inlineStr">
        <is>
          <t>Jami</t>
        </is>
      </c>
    </row>
    <row r="3">
      <c r="A3" t="inlineStr">
        <is>
          <t>Daromad</t>
        </is>
      </c>
      <c r="B3" s="4">
        <f>Daromad!B10</f>
        <v/>
      </c>
      <c r="C3" s="4">
        <f>Daromad!C10</f>
        <v/>
      </c>
      <c r="D3" s="4">
        <f>Daromad!D10</f>
        <v/>
      </c>
      <c r="E3" s="4">
        <f>Daromad!E10</f>
        <v/>
      </c>
      <c r="F3" s="4">
        <f>Daromad!F10</f>
        <v/>
      </c>
      <c r="G3" s="4">
        <f>Daromad!G10</f>
        <v/>
      </c>
      <c r="H3" s="4">
        <f>Daromad!H10</f>
        <v/>
      </c>
      <c r="I3" s="4">
        <f>Daromad!I10</f>
        <v/>
      </c>
      <c r="J3" s="4">
        <f>Daromad!J10</f>
        <v/>
      </c>
      <c r="K3" s="4">
        <f>Daromad!K10</f>
        <v/>
      </c>
      <c r="L3" s="4">
        <f>Daromad!L10</f>
        <v/>
      </c>
      <c r="M3" s="4">
        <f>Daromad!M10</f>
        <v/>
      </c>
      <c r="N3" s="4">
        <f>SUM(B3:M3)</f>
        <v/>
      </c>
    </row>
    <row r="4">
      <c r="A4" t="inlineStr">
        <is>
          <t>O'zgaruvchan xarajatlar (komissiya+soliq)</t>
        </is>
      </c>
      <c r="B4" s="4">
        <f>Xarajatlar!B7+Xarajatlar!B8</f>
        <v/>
      </c>
      <c r="C4" s="4">
        <f>Xarajatlar!C7+Xarajatlar!C8</f>
        <v/>
      </c>
      <c r="D4" s="4">
        <f>Xarajatlar!D7+Xarajatlar!D8</f>
        <v/>
      </c>
      <c r="E4" s="4">
        <f>Xarajatlar!E7+Xarajatlar!E8</f>
        <v/>
      </c>
      <c r="F4" s="4">
        <f>Xarajatlar!F7+Xarajatlar!F8</f>
        <v/>
      </c>
      <c r="G4" s="4">
        <f>Xarajatlar!G7+Xarajatlar!G8</f>
        <v/>
      </c>
      <c r="H4" s="4">
        <f>Xarajatlar!H7+Xarajatlar!H8</f>
        <v/>
      </c>
      <c r="I4" s="4">
        <f>Xarajatlar!I7+Xarajatlar!I8</f>
        <v/>
      </c>
      <c r="J4" s="4">
        <f>Xarajatlar!J7+Xarajatlar!J8</f>
        <v/>
      </c>
      <c r="K4" s="4">
        <f>Xarajatlar!K7+Xarajatlar!K8</f>
        <v/>
      </c>
      <c r="L4" s="4">
        <f>Xarajatlar!L7+Xarajatlar!L8</f>
        <v/>
      </c>
      <c r="M4" s="4">
        <f>Xarajatlar!M7+Xarajatlar!M8</f>
        <v/>
      </c>
      <c r="N4" s="4">
        <f>SUM(B4:M4)</f>
        <v/>
      </c>
    </row>
    <row r="5">
      <c r="A5" t="inlineStr">
        <is>
          <t>Yalpi foyda</t>
        </is>
      </c>
      <c r="B5" s="4">
        <f>B3-B4</f>
        <v/>
      </c>
      <c r="C5" s="4">
        <f>C3-C4</f>
        <v/>
      </c>
      <c r="D5" s="4">
        <f>D3-D4</f>
        <v/>
      </c>
      <c r="E5" s="4">
        <f>E3-E4</f>
        <v/>
      </c>
      <c r="F5" s="4">
        <f>F3-F4</f>
        <v/>
      </c>
      <c r="G5" s="4">
        <f>G3-G4</f>
        <v/>
      </c>
      <c r="H5" s="4">
        <f>H3-H4</f>
        <v/>
      </c>
      <c r="I5" s="4">
        <f>I3-I4</f>
        <v/>
      </c>
      <c r="J5" s="4">
        <f>J3-J4</f>
        <v/>
      </c>
      <c r="K5" s="4">
        <f>K3-K4</f>
        <v/>
      </c>
      <c r="L5" s="4">
        <f>L3-L4</f>
        <v/>
      </c>
      <c r="M5" s="4">
        <f>M3-M4</f>
        <v/>
      </c>
      <c r="N5" s="4">
        <f>SUM(B5:M5)</f>
        <v/>
      </c>
    </row>
    <row r="6">
      <c r="A6" t="inlineStr">
        <is>
          <t>Doimiy xarajatlar</t>
        </is>
      </c>
      <c r="B6" s="4">
        <f>SUM(Xarajatlar!B3:B6)</f>
        <v/>
      </c>
      <c r="C6" s="4">
        <f>SUM(Xarajatlar!C3:C6)</f>
        <v/>
      </c>
      <c r="D6" s="4">
        <f>SUM(Xarajatlar!D3:D6)</f>
        <v/>
      </c>
      <c r="E6" s="4">
        <f>SUM(Xarajatlar!E3:E6)</f>
        <v/>
      </c>
      <c r="F6" s="4">
        <f>SUM(Xarajatlar!F3:F6)</f>
        <v/>
      </c>
      <c r="G6" s="4">
        <f>SUM(Xarajatlar!G3:G6)</f>
        <v/>
      </c>
      <c r="H6" s="4">
        <f>SUM(Xarajatlar!H3:H6)</f>
        <v/>
      </c>
      <c r="I6" s="4">
        <f>SUM(Xarajatlar!I3:I6)</f>
        <v/>
      </c>
      <c r="J6" s="4">
        <f>SUM(Xarajatlar!J3:J6)</f>
        <v/>
      </c>
      <c r="K6" s="4">
        <f>SUM(Xarajatlar!K3:K6)</f>
        <v/>
      </c>
      <c r="L6" s="4">
        <f>SUM(Xarajatlar!L3:L6)</f>
        <v/>
      </c>
      <c r="M6" s="4">
        <f>SUM(Xarajatlar!M3:M6)</f>
        <v/>
      </c>
      <c r="N6" s="4">
        <f>SUM(B6:M6)</f>
        <v/>
      </c>
    </row>
    <row r="7">
      <c r="A7" t="inlineStr">
        <is>
          <t>SOF FOYDA</t>
        </is>
      </c>
      <c r="B7" s="4">
        <f>B5-B6</f>
        <v/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  <c r="H7" s="4">
        <f>H5-H6</f>
        <v/>
      </c>
      <c r="I7" s="4">
        <f>I5-I6</f>
        <v/>
      </c>
      <c r="J7" s="4">
        <f>J5-J6</f>
        <v/>
      </c>
      <c r="K7" s="4">
        <f>K5-K6</f>
        <v/>
      </c>
      <c r="L7" s="4">
        <f>L5-L6</f>
        <v/>
      </c>
      <c r="M7" s="4">
        <f>M5-M6</f>
        <v/>
      </c>
      <c r="N7" s="4">
        <f>SUM(B7:M7)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Pul oqimi (TAXMINIY namuna ma'lumotlar asosida)</t>
        </is>
      </c>
    </row>
    <row r="2">
      <c r="A2" t="inlineStr">
        <is>
          <t>Ko'rsatkich</t>
        </is>
      </c>
      <c r="B2" t="inlineStr">
        <is>
          <t>1-oy</t>
        </is>
      </c>
      <c r="C2" t="inlineStr">
        <is>
          <t>2-oy</t>
        </is>
      </c>
      <c r="D2" t="inlineStr">
        <is>
          <t>3-oy</t>
        </is>
      </c>
      <c r="E2" t="inlineStr">
        <is>
          <t>4-oy</t>
        </is>
      </c>
      <c r="F2" t="inlineStr">
        <is>
          <t>5-oy</t>
        </is>
      </c>
      <c r="G2" t="inlineStr">
        <is>
          <t>6-oy</t>
        </is>
      </c>
      <c r="H2" t="inlineStr">
        <is>
          <t>7-oy</t>
        </is>
      </c>
      <c r="I2" t="inlineStr">
        <is>
          <t>8-oy</t>
        </is>
      </c>
      <c r="J2" t="inlineStr">
        <is>
          <t>9-oy</t>
        </is>
      </c>
      <c r="K2" t="inlineStr">
        <is>
          <t>10-oy</t>
        </is>
      </c>
      <c r="L2" t="inlineStr">
        <is>
          <t>11-oy</t>
        </is>
      </c>
      <c r="M2" t="inlineStr">
        <is>
          <t>12-oy</t>
        </is>
      </c>
      <c r="N2" t="inlineStr">
        <is>
          <t>Jami</t>
        </is>
      </c>
    </row>
    <row r="3">
      <c r="A3" t="inlineStr">
        <is>
          <t>Boshlang'ich qoldiq</t>
        </is>
      </c>
      <c r="B3" s="4">
        <f>Farazlar!$B$23</f>
        <v/>
      </c>
      <c r="C3" s="4">
        <f>B7</f>
        <v/>
      </c>
      <c r="D3" s="4">
        <f>C7</f>
        <v/>
      </c>
      <c r="E3" s="4">
        <f>D7</f>
        <v/>
      </c>
      <c r="F3" s="4">
        <f>E7</f>
        <v/>
      </c>
      <c r="G3" s="4">
        <f>F7</f>
        <v/>
      </c>
      <c r="H3" s="4">
        <f>G7</f>
        <v/>
      </c>
      <c r="I3" s="4">
        <f>H7</f>
        <v/>
      </c>
      <c r="J3" s="4">
        <f>I7</f>
        <v/>
      </c>
      <c r="K3" s="4">
        <f>J7</f>
        <v/>
      </c>
      <c r="L3" s="4">
        <f>K7</f>
        <v/>
      </c>
      <c r="M3" s="4">
        <f>L7</f>
        <v/>
      </c>
      <c r="N3" s="4" t="n"/>
    </row>
    <row r="4">
      <c r="A4" t="inlineStr">
        <is>
          <t>Kirim (daromad)</t>
        </is>
      </c>
      <c r="B4" s="4">
        <f>Daromad!B10</f>
        <v/>
      </c>
      <c r="C4" s="4">
        <f>Daromad!C10</f>
        <v/>
      </c>
      <c r="D4" s="4">
        <f>Daromad!D10</f>
        <v/>
      </c>
      <c r="E4" s="4">
        <f>Daromad!E10</f>
        <v/>
      </c>
      <c r="F4" s="4">
        <f>Daromad!F10</f>
        <v/>
      </c>
      <c r="G4" s="4">
        <f>Daromad!G10</f>
        <v/>
      </c>
      <c r="H4" s="4">
        <f>Daromad!H10</f>
        <v/>
      </c>
      <c r="I4" s="4">
        <f>Daromad!I10</f>
        <v/>
      </c>
      <c r="J4" s="4">
        <f>Daromad!J10</f>
        <v/>
      </c>
      <c r="K4" s="4">
        <f>Daromad!K10</f>
        <v/>
      </c>
      <c r="L4" s="4">
        <f>Daromad!L10</f>
        <v/>
      </c>
      <c r="M4" s="4">
        <f>Daromad!M10</f>
        <v/>
      </c>
      <c r="N4" s="4">
        <f>SUM(B4:M4)</f>
        <v/>
      </c>
    </row>
    <row r="5">
      <c r="A5" t="inlineStr">
        <is>
          <t>Chiqim (xarajatlar)</t>
        </is>
      </c>
      <c r="B5" s="4">
        <f>Xarajatlar!B9</f>
        <v/>
      </c>
      <c r="C5" s="4">
        <f>Xarajatlar!C9</f>
        <v/>
      </c>
      <c r="D5" s="4">
        <f>Xarajatlar!D9</f>
        <v/>
      </c>
      <c r="E5" s="4">
        <f>Xarajatlar!E9</f>
        <v/>
      </c>
      <c r="F5" s="4">
        <f>Xarajatlar!F9</f>
        <v/>
      </c>
      <c r="G5" s="4">
        <f>Xarajatlar!G9</f>
        <v/>
      </c>
      <c r="H5" s="4">
        <f>Xarajatlar!H9</f>
        <v/>
      </c>
      <c r="I5" s="4">
        <f>Xarajatlar!I9</f>
        <v/>
      </c>
      <c r="J5" s="4">
        <f>Xarajatlar!J9</f>
        <v/>
      </c>
      <c r="K5" s="4">
        <f>Xarajatlar!K9</f>
        <v/>
      </c>
      <c r="L5" s="4">
        <f>Xarajatlar!L9</f>
        <v/>
      </c>
      <c r="M5" s="4">
        <f>Xarajatlar!M9</f>
        <v/>
      </c>
      <c r="N5" s="4">
        <f>SUM(B5:M5)</f>
        <v/>
      </c>
    </row>
    <row r="6">
      <c r="A6" t="inlineStr">
        <is>
          <t>Sof pul oqimi</t>
        </is>
      </c>
      <c r="B6" s="4">
        <f>B4-B5</f>
        <v/>
      </c>
      <c r="C6" s="4">
        <f>C4-C5</f>
        <v/>
      </c>
      <c r="D6" s="4">
        <f>D4-D5</f>
        <v/>
      </c>
      <c r="E6" s="4">
        <f>E4-E5</f>
        <v/>
      </c>
      <c r="F6" s="4">
        <f>F4-F5</f>
        <v/>
      </c>
      <c r="G6" s="4">
        <f>G4-G5</f>
        <v/>
      </c>
      <c r="H6" s="4">
        <f>H4-H5</f>
        <v/>
      </c>
      <c r="I6" s="4">
        <f>I4-I5</f>
        <v/>
      </c>
      <c r="J6" s="4">
        <f>J4-J5</f>
        <v/>
      </c>
      <c r="K6" s="4">
        <f>K4-K5</f>
        <v/>
      </c>
      <c r="L6" s="4">
        <f>L4-L5</f>
        <v/>
      </c>
      <c r="M6" s="4">
        <f>M4-M5</f>
        <v/>
      </c>
      <c r="N6" s="4">
        <f>SUM(B6:M6)</f>
        <v/>
      </c>
    </row>
    <row r="7">
      <c r="A7" t="inlineStr">
        <is>
          <t>Yakuniy qoldiq</t>
        </is>
      </c>
      <c r="B7" s="4">
        <f>B3+B6</f>
        <v/>
      </c>
      <c r="C7" s="4">
        <f>C3+C6</f>
        <v/>
      </c>
      <c r="D7" s="4">
        <f>D3+D6</f>
        <v/>
      </c>
      <c r="E7" s="4">
        <f>E3+E6</f>
        <v/>
      </c>
      <c r="F7" s="4">
        <f>F3+F6</f>
        <v/>
      </c>
      <c r="G7" s="4">
        <f>G3+G6</f>
        <v/>
      </c>
      <c r="H7" s="4">
        <f>H3+H6</f>
        <v/>
      </c>
      <c r="I7" s="4">
        <f>I3+I6</f>
        <v/>
      </c>
      <c r="J7" s="4">
        <f>J3+J6</f>
        <v/>
      </c>
      <c r="K7" s="4">
        <f>K3+K6</f>
        <v/>
      </c>
      <c r="L7" s="4">
        <f>L3+L6</f>
        <v/>
      </c>
      <c r="M7" s="4">
        <f>M3+M6</f>
        <v/>
      </c>
      <c r="N7" s="4" t="n"/>
    </row>
    <row r="8">
      <c r="A8" t="inlineStr">
        <is>
          <t>Kumulyativ sof foyda</t>
        </is>
      </c>
      <c r="B8" s="4">
        <f>'P&amp;L oylik'!B7</f>
        <v/>
      </c>
      <c r="C8" s="4">
        <f>B8+'P&amp;L oylik'!C7</f>
        <v/>
      </c>
      <c r="D8" s="4">
        <f>C8+'P&amp;L oylik'!D7</f>
        <v/>
      </c>
      <c r="E8" s="4">
        <f>D8+'P&amp;L oylik'!E7</f>
        <v/>
      </c>
      <c r="F8" s="4">
        <f>E8+'P&amp;L oylik'!F7</f>
        <v/>
      </c>
      <c r="G8" s="4">
        <f>F8+'P&amp;L oylik'!G7</f>
        <v/>
      </c>
      <c r="H8" s="4">
        <f>G8+'P&amp;L oylik'!H7</f>
        <v/>
      </c>
      <c r="I8" s="4">
        <f>H8+'P&amp;L oylik'!I7</f>
        <v/>
      </c>
      <c r="J8" s="4">
        <f>I8+'P&amp;L oylik'!J7</f>
        <v/>
      </c>
      <c r="K8" s="4">
        <f>J8+'P&amp;L oylik'!K7</f>
        <v/>
      </c>
      <c r="L8" s="4">
        <f>K8+'P&amp;L oylik'!L7</f>
        <v/>
      </c>
      <c r="M8" s="4">
        <f>L8+'P&amp;L oylik'!M7</f>
        <v/>
      </c>
      <c r="N8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FOYDA NUQTASI (TAXMINIY namuna ma'lumotlar asosida)</t>
        </is>
      </c>
    </row>
    <row r="2">
      <c r="A2" t="inlineStr">
        <is>
          <t>Birinchi foydali oy (oylik sof foyda ≥ 0)</t>
        </is>
      </c>
      <c r="B2" s="4">
        <f>IFERROR(MATCH(TRUE,INDEX('P&amp;L oylik'!B7:M7&gt;=0,0),0)&amp;"-oy","12 oy ichida yo'q")</f>
        <v/>
      </c>
    </row>
    <row r="3">
      <c r="A3" t="inlineStr">
        <is>
          <t>Investitsiya qoplanadigan oy (kumulyativ foyda ≥ 0)</t>
        </is>
      </c>
      <c r="B3" s="4">
        <f>IFERROR(MATCH(TRUE,INDEX('Pul oqimi'!B8:M8&gt;=0,0),0)&amp;"-oy","12 oy ichida yo'q")</f>
        <v/>
      </c>
    </row>
    <row r="4">
      <c r="A4" t="inlineStr">
        <is>
          <t>Eng past pul qoldig'i (12 oy)</t>
        </is>
      </c>
      <c r="B4" s="4">
        <f>MIN('Pul oqimi'!B7:M7)</f>
        <v/>
      </c>
    </row>
    <row r="5">
      <c r="A5" t="inlineStr">
        <is>
          <t>Oylik doimiy xarajatlar</t>
        </is>
      </c>
      <c r="B5" s="4">
        <f>Farazlar!$B$17+Farazlar!$B$18+Farazlar!$B$19+Farazlar!$B$20</f>
        <v/>
      </c>
    </row>
    <row r="6">
      <c r="A6" t="inlineStr">
        <is>
          <t>O'zgaruvchan xarajat ulushi (to'lov+soliq)</t>
        </is>
      </c>
      <c r="B6" s="5">
        <f>Farazlar!$B$21+Farazlar!$B$22</f>
        <v/>
      </c>
    </row>
    <row r="7">
      <c r="A7" t="inlineStr">
        <is>
          <t>Kerakli oylik daromad (foyda nuqtasi)</t>
        </is>
      </c>
      <c r="B7" s="4">
        <f>B5/(1-B6)</f>
        <v/>
      </c>
    </row>
    <row r="8">
      <c r="A8" t="inlineStr">
        <is>
          <t>Faqat CRM bilan qoplash uchun kerakli klinikalar</t>
        </is>
      </c>
      <c r="B8" s="4">
        <f>ROUNDUP(B5/(Farazlar!$B$13*(1-B6)),0)</f>
        <v/>
      </c>
    </row>
    <row r="9">
      <c r="A9" t="inlineStr">
        <is>
          <t>Faqat marketplace bilan qoplash uchun kerakli oylik GMV</t>
        </is>
      </c>
      <c r="B9" s="4">
        <f>B5/(Farazlar!$B$5*(1-B6))</f>
        <v/>
      </c>
    </row>
    <row r="10">
      <c r="A10" t="inlineStr">
        <is>
          <t>Faqat seminar bilan: kerakli chiptalar soni oyiga</t>
        </is>
      </c>
      <c r="B10" s="4">
        <f>ROUNDUP(B5/(Farazlar!$B$8*Farazlar!$B$9*(1-B6)),0)</f>
        <v/>
      </c>
    </row>
    <row r="11">
      <c r="A11" t="inlineStr">
        <is>
          <t>12-oy daromadi (taqqoslash uchun)</t>
        </is>
      </c>
      <c r="B11" s="4">
        <f>Daromad!M10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2026-10-27T19:29:37Z</dcterms:created>
  <dcterms:modified xmlns:dcterms="http://purl.org/dc/terms/" xmlns:xsi="http://www.w3.org/2001/XMLSchema-instance" xsi:type="dcterms:W3CDTF">2026-10-27T19:29:37Z</dcterms:modified>
</cp:coreProperties>
</file>